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ith\Documents\1- Safa &amp; Marwa Project\20- Manpower Employees\Haya Manpower Supplier\"/>
    </mc:Choice>
  </mc:AlternateContent>
  <xr:revisionPtr revIDLastSave="0" documentId="13_ncr:1_{B4533A58-69F8-45DC-804D-BC7F92B1B78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OCT-NOV-25" sheetId="23" r:id="rId1"/>
    <sheet name="DEC-25" sheetId="24" r:id="rId2"/>
    <sheet name="JAN &amp; FEB-26" sheetId="2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41" i="25" l="1"/>
  <c r="AV39" i="25"/>
  <c r="AV38" i="25"/>
  <c r="AV37" i="25"/>
  <c r="AQ4" i="25"/>
  <c r="AV4" i="25" s="1"/>
  <c r="AQ5" i="25"/>
  <c r="AQ6" i="25"/>
  <c r="AQ7" i="25"/>
  <c r="AQ8" i="25"/>
  <c r="AQ9" i="25"/>
  <c r="AQ10" i="25"/>
  <c r="AQ11" i="25"/>
  <c r="AQ12" i="25"/>
  <c r="AQ13" i="25"/>
  <c r="AQ14" i="25"/>
  <c r="AQ15" i="25"/>
  <c r="AQ16" i="25"/>
  <c r="AQ17" i="25"/>
  <c r="AQ18" i="25"/>
  <c r="AV18" i="25" s="1"/>
  <c r="AQ19" i="25"/>
  <c r="AV19" i="25" s="1"/>
  <c r="AQ20" i="25"/>
  <c r="AQ21" i="25"/>
  <c r="AQ22" i="25"/>
  <c r="AQ23" i="25"/>
  <c r="AQ24" i="25"/>
  <c r="AQ25" i="25"/>
  <c r="AQ26" i="25"/>
  <c r="AQ27" i="25"/>
  <c r="AQ28" i="25"/>
  <c r="AQ29" i="25"/>
  <c r="AQ30" i="25"/>
  <c r="AQ31" i="25"/>
  <c r="AQ32" i="25"/>
  <c r="AQ33" i="25"/>
  <c r="AQ34" i="25"/>
  <c r="AQ3" i="25"/>
  <c r="AR35" i="25"/>
  <c r="AS3" i="25"/>
  <c r="AS4" i="25"/>
  <c r="AS5" i="25"/>
  <c r="AS6" i="25"/>
  <c r="AS7" i="25"/>
  <c r="AS8" i="25"/>
  <c r="AS9" i="25"/>
  <c r="AS10" i="25"/>
  <c r="AS11" i="25"/>
  <c r="AS12" i="25"/>
  <c r="AS13" i="25"/>
  <c r="AS14" i="25"/>
  <c r="AS15" i="25"/>
  <c r="AS16" i="25"/>
  <c r="AS17" i="25"/>
  <c r="AS18" i="25"/>
  <c r="AS19" i="25"/>
  <c r="AS20" i="25"/>
  <c r="AS21" i="25"/>
  <c r="AS22" i="25"/>
  <c r="AS23" i="25"/>
  <c r="AS24" i="25"/>
  <c r="AS25" i="25"/>
  <c r="AS26" i="25"/>
  <c r="AS27" i="25"/>
  <c r="AS28" i="25"/>
  <c r="AS29" i="25"/>
  <c r="AS30" i="25"/>
  <c r="AS31" i="25"/>
  <c r="AS32" i="25"/>
  <c r="AS33" i="25"/>
  <c r="AS34" i="25"/>
  <c r="AV34" i="25" s="1"/>
  <c r="AV33" i="25" l="1"/>
  <c r="AV32" i="25"/>
  <c r="AV31" i="25"/>
  <c r="AV20" i="25"/>
  <c r="AV11" i="25"/>
  <c r="AV10" i="25"/>
  <c r="AV9" i="25"/>
  <c r="AV8" i="25"/>
  <c r="AV17" i="25"/>
  <c r="AV24" i="25"/>
  <c r="AV25" i="25"/>
  <c r="AV3" i="25"/>
  <c r="AV29" i="25"/>
  <c r="AV28" i="25"/>
  <c r="AV27" i="25"/>
  <c r="AV26" i="25"/>
  <c r="AQ35" i="25"/>
  <c r="AS35" i="25"/>
  <c r="AV5" i="25"/>
  <c r="AV30" i="25"/>
  <c r="AV23" i="25"/>
  <c r="AV16" i="25"/>
  <c r="AV22" i="25"/>
  <c r="AV15" i="25"/>
  <c r="AV21" i="25"/>
  <c r="AV14" i="25"/>
  <c r="AV7" i="25"/>
  <c r="AV13" i="25"/>
  <c r="AV6" i="25"/>
  <c r="AV12" i="25"/>
  <c r="AO30" i="23" l="1"/>
  <c r="AR41" i="24"/>
  <c r="AR39" i="24"/>
  <c r="AR38" i="24"/>
  <c r="AR35" i="24" l="1"/>
  <c r="AM35" i="24"/>
  <c r="AO4" i="24"/>
  <c r="AO5" i="24"/>
  <c r="AO6" i="24"/>
  <c r="AO7" i="24"/>
  <c r="AO8" i="24"/>
  <c r="AO9" i="24"/>
  <c r="AO10" i="24"/>
  <c r="AO11" i="24"/>
  <c r="AO12" i="24"/>
  <c r="AO13" i="24"/>
  <c r="AO14" i="24"/>
  <c r="AO15" i="24"/>
  <c r="AO16" i="24"/>
  <c r="AO17" i="24"/>
  <c r="AO18" i="24"/>
  <c r="AO19" i="24"/>
  <c r="AO20" i="24"/>
  <c r="AO21" i="24"/>
  <c r="AO22" i="24"/>
  <c r="AO23" i="24"/>
  <c r="AO24" i="24"/>
  <c r="AO25" i="24"/>
  <c r="AO26" i="24"/>
  <c r="AO27" i="24"/>
  <c r="AO28" i="24"/>
  <c r="AO29" i="24"/>
  <c r="AO30" i="24"/>
  <c r="AO31" i="24"/>
  <c r="AO32" i="24"/>
  <c r="AO33" i="24"/>
  <c r="AO34" i="24"/>
  <c r="AO3" i="24"/>
  <c r="AQ29" i="23"/>
  <c r="AT29" i="23" s="1"/>
  <c r="AO29" i="23"/>
  <c r="AQ28" i="23"/>
  <c r="AO28" i="23"/>
  <c r="AT28" i="23" s="1"/>
  <c r="AQ27" i="23"/>
  <c r="AO27" i="23"/>
  <c r="AT27" i="23" s="1"/>
  <c r="AQ26" i="23"/>
  <c r="AO26" i="23"/>
  <c r="AT26" i="23" s="1"/>
  <c r="AQ25" i="23"/>
  <c r="AO25" i="23"/>
  <c r="AT25" i="23" s="1"/>
  <c r="AT24" i="23"/>
  <c r="AQ24" i="23"/>
  <c r="AO24" i="23"/>
  <c r="AQ23" i="23"/>
  <c r="AO23" i="23"/>
  <c r="AT23" i="23" s="1"/>
  <c r="AQ22" i="23"/>
  <c r="AO22" i="23"/>
  <c r="AT22" i="23" s="1"/>
  <c r="AQ21" i="23"/>
  <c r="AO21" i="23"/>
  <c r="AT21" i="23" s="1"/>
  <c r="AQ20" i="23"/>
  <c r="AO20" i="23"/>
  <c r="AT20" i="23" s="1"/>
  <c r="AQ19" i="23"/>
  <c r="AO19" i="23"/>
  <c r="AT19" i="23" s="1"/>
  <c r="AQ18" i="23"/>
  <c r="AO18" i="23"/>
  <c r="AT18" i="23" s="1"/>
  <c r="AQ17" i="23"/>
  <c r="AO17" i="23"/>
  <c r="AT17" i="23" s="1"/>
  <c r="AQ16" i="23"/>
  <c r="AO16" i="23"/>
  <c r="AT16" i="23" s="1"/>
  <c r="AQ15" i="23"/>
  <c r="AT15" i="23" s="1"/>
  <c r="AO15" i="23"/>
  <c r="AQ14" i="23"/>
  <c r="AO14" i="23"/>
  <c r="AT14" i="23" s="1"/>
  <c r="AQ13" i="23"/>
  <c r="AO13" i="23"/>
  <c r="AT13" i="23" s="1"/>
  <c r="AQ12" i="23"/>
  <c r="AO12" i="23"/>
  <c r="AT12" i="23" s="1"/>
  <c r="AQ11" i="23"/>
  <c r="AO11" i="23"/>
  <c r="AT11" i="23" s="1"/>
  <c r="AT10" i="23"/>
  <c r="AQ10" i="23"/>
  <c r="AO10" i="23"/>
  <c r="AQ9" i="23"/>
  <c r="AO9" i="23"/>
  <c r="AT9" i="23" s="1"/>
  <c r="AQ8" i="23"/>
  <c r="AO8" i="23"/>
  <c r="AT8" i="23" s="1"/>
  <c r="AQ7" i="23"/>
  <c r="AT7" i="23" s="1"/>
  <c r="AO7" i="23"/>
  <c r="AQ6" i="23"/>
  <c r="AT6" i="23" s="1"/>
  <c r="AO6" i="23"/>
  <c r="AQ5" i="23"/>
  <c r="AO5" i="23"/>
  <c r="AT5" i="23" s="1"/>
  <c r="AQ4" i="23"/>
  <c r="AO4" i="23"/>
  <c r="AT4" i="23" s="1"/>
  <c r="AQ3" i="23"/>
  <c r="AO3" i="23"/>
  <c r="AT3" i="23" s="1"/>
  <c r="AV35" i="25" l="1"/>
  <c r="AT30" i="23"/>
  <c r="AR12" i="24" l="1"/>
  <c r="AR4" i="24"/>
  <c r="AR6" i="24"/>
  <c r="AM14" i="24"/>
  <c r="AM15" i="24"/>
  <c r="AM16" i="24"/>
  <c r="AM17" i="24"/>
  <c r="AM18" i="24"/>
  <c r="AM19" i="24"/>
  <c r="AM20" i="24"/>
  <c r="AM21" i="24"/>
  <c r="AM22" i="24"/>
  <c r="AM23" i="24"/>
  <c r="AM24" i="24"/>
  <c r="AM25" i="24"/>
  <c r="AM26" i="24"/>
  <c r="AM27" i="24"/>
  <c r="AM28" i="24"/>
  <c r="AM29" i="24"/>
  <c r="AM30" i="24"/>
  <c r="AM31" i="24"/>
  <c r="AM32" i="24"/>
  <c r="AM33" i="24"/>
  <c r="AM34" i="24"/>
  <c r="AM8" i="24"/>
  <c r="AR8" i="24" s="1"/>
  <c r="AM9" i="24"/>
  <c r="AR9" i="24" s="1"/>
  <c r="AM10" i="24"/>
  <c r="AR10" i="24" s="1"/>
  <c r="AM11" i="24"/>
  <c r="AR11" i="24" s="1"/>
  <c r="AM12" i="24"/>
  <c r="AM13" i="24"/>
  <c r="AR13" i="24" s="1"/>
  <c r="AM4" i="24"/>
  <c r="AM5" i="24"/>
  <c r="AR5" i="24" s="1"/>
  <c r="AM6" i="24"/>
  <c r="AM7" i="24"/>
  <c r="AR7" i="24" s="1"/>
  <c r="AM3" i="24"/>
  <c r="AR14" i="24"/>
  <c r="AR34" i="24" l="1"/>
  <c r="AR33" i="24"/>
  <c r="AR32" i="24"/>
  <c r="AR31" i="24"/>
  <c r="AR30" i="24"/>
  <c r="AR29" i="24"/>
  <c r="AR28" i="24"/>
  <c r="AR27" i="24"/>
  <c r="AR26" i="24"/>
  <c r="AR25" i="24"/>
  <c r="AR24" i="24"/>
  <c r="AR23" i="24"/>
  <c r="AR22" i="24"/>
  <c r="AR17" i="24"/>
  <c r="AR16" i="24"/>
  <c r="AR15" i="24"/>
  <c r="AR3" i="24"/>
  <c r="AR18" i="24" l="1"/>
  <c r="AR19" i="24"/>
  <c r="AR20" i="24"/>
  <c r="AR21" i="24"/>
</calcChain>
</file>

<file path=xl/sharedStrings.xml><?xml version="1.0" encoding="utf-8"?>
<sst xmlns="http://schemas.openxmlformats.org/spreadsheetml/2006/main" count="437" uniqueCount="104">
  <si>
    <t>S.No.</t>
  </si>
  <si>
    <t>Total Hours</t>
  </si>
  <si>
    <t>Remarks</t>
  </si>
  <si>
    <t>Project</t>
  </si>
  <si>
    <t xml:space="preserve">On Leave </t>
  </si>
  <si>
    <t>Resigned</t>
  </si>
  <si>
    <t>Employee   Name</t>
  </si>
  <si>
    <t>ABSENCE</t>
  </si>
  <si>
    <t>Md Zubayer Hossain</t>
  </si>
  <si>
    <t>Foreman</t>
  </si>
  <si>
    <t>Safa</t>
  </si>
  <si>
    <t>Tamim Mia</t>
  </si>
  <si>
    <t>Welder</t>
  </si>
  <si>
    <t>Ruhul Amin Dilbar Mathbar</t>
  </si>
  <si>
    <t>Mohiuddin Shajahan Sarkar</t>
  </si>
  <si>
    <t>Mamin Bepari</t>
  </si>
  <si>
    <t>Md Jillal Hossain</t>
  </si>
  <si>
    <t>Ahidur Zaman</t>
  </si>
  <si>
    <t>Sujan Miah Hamdu Miah</t>
  </si>
  <si>
    <t>Abul Miah</t>
  </si>
  <si>
    <t>Md Reza Sheikh</t>
  </si>
  <si>
    <t>Md Musa Miah</t>
  </si>
  <si>
    <t>Md Reyad Molla</t>
  </si>
  <si>
    <t>Sahadat Jalal</t>
  </si>
  <si>
    <t>Md Sharif Munshi Fazal</t>
  </si>
  <si>
    <t>Shafi Mahmod</t>
  </si>
  <si>
    <t>Nahidul Hasan</t>
  </si>
  <si>
    <t>Mohammad Amer</t>
  </si>
  <si>
    <t>Soleman Bepary</t>
  </si>
  <si>
    <t>Karim Pathan</t>
  </si>
  <si>
    <t>Md Aminul Islam</t>
  </si>
  <si>
    <t>Aakher Malita</t>
  </si>
  <si>
    <t>Md Ashraful Islam Rony</t>
  </si>
  <si>
    <t>Suhel Miah</t>
  </si>
  <si>
    <t>Sahanur Miah</t>
  </si>
  <si>
    <t>Md Abu Salam</t>
  </si>
  <si>
    <t>Azizul Haque</t>
  </si>
  <si>
    <t>Mamon Miah</t>
  </si>
  <si>
    <t>Designation</t>
  </si>
  <si>
    <t>Contact No.</t>
  </si>
  <si>
    <t>Iqama No.</t>
  </si>
  <si>
    <t>Fitter</t>
  </si>
  <si>
    <t>01-Nov-25</t>
  </si>
  <si>
    <t>02-Nov-25</t>
  </si>
  <si>
    <t>03-Nov-25</t>
  </si>
  <si>
    <t>04-Nov-25</t>
  </si>
  <si>
    <t>05-Nov-25</t>
  </si>
  <si>
    <t>06-Nov-25</t>
  </si>
  <si>
    <t>07-Nov-25</t>
  </si>
  <si>
    <t>08-Nov-25</t>
  </si>
  <si>
    <t>09-Nov-25</t>
  </si>
  <si>
    <t>10-Nov-25</t>
  </si>
  <si>
    <t>11-Nov-25</t>
  </si>
  <si>
    <t>12-Nov-25</t>
  </si>
  <si>
    <t>13-Nov-25</t>
  </si>
  <si>
    <t>14-Nov-25</t>
  </si>
  <si>
    <t>16-Nov-25</t>
  </si>
  <si>
    <t>17-Nov-25</t>
  </si>
  <si>
    <t>18-Nov-25</t>
  </si>
  <si>
    <t>19-Nov-25</t>
  </si>
  <si>
    <t>20-Nov-25</t>
  </si>
  <si>
    <t>21-Nov-25</t>
  </si>
  <si>
    <t>22-Nov-25</t>
  </si>
  <si>
    <t>23-Nov-25</t>
  </si>
  <si>
    <t>24-Nov-25</t>
  </si>
  <si>
    <t>25-Nov-25</t>
  </si>
  <si>
    <t>26-Nov-25</t>
  </si>
  <si>
    <t>27-Nov-25</t>
  </si>
  <si>
    <t>28-Nov-25</t>
  </si>
  <si>
    <t>29-Nov-25</t>
  </si>
  <si>
    <t>30-Nov-25</t>
  </si>
  <si>
    <t>FRIDAY</t>
  </si>
  <si>
    <t>Rate per hour</t>
  </si>
  <si>
    <t>Read Caption</t>
  </si>
  <si>
    <t>Caption</t>
  </si>
  <si>
    <t>15-Nov-25</t>
  </si>
  <si>
    <t>Total Absence (day)</t>
  </si>
  <si>
    <t>Deduction (SAR)</t>
  </si>
  <si>
    <t>From 29-Oct-2025 to 30-Nov-2025</t>
  </si>
  <si>
    <t>Haya Manpower Supplier - Riyadh</t>
  </si>
  <si>
    <t>Salary (SAR)</t>
  </si>
  <si>
    <t>Total</t>
  </si>
  <si>
    <t>From 1-Dec-2025 to 31-Dec-2025</t>
  </si>
  <si>
    <t>Josim Abdur Rob</t>
  </si>
  <si>
    <t>Md Nirob</t>
  </si>
  <si>
    <t>Ridoy Hossain</t>
  </si>
  <si>
    <t>Foysal Ahmed</t>
  </si>
  <si>
    <t>Sohail Bepari</t>
  </si>
  <si>
    <t>Mohammad Razu Ahmmad</t>
  </si>
  <si>
    <t>Rate per hour (SAR)</t>
  </si>
  <si>
    <t xml:space="preserve">Rate:SAR 19 from 29 OCT to 14 NOV. Rate:SAR 25 from 15 NOV  </t>
  </si>
  <si>
    <t>Rate:SAR 19 from 13 NOV to 26 NOV. Rate:SaR 19 from 27 NOV</t>
  </si>
  <si>
    <t>Accomodation (SAR 200) +Transportation&amp;Food (SAR 200) = SAR 400</t>
  </si>
  <si>
    <t>Accomodation (SAR 200) +Transportation&amp;Food (SAR 500) = SAR 700</t>
  </si>
  <si>
    <t xml:space="preserve">Accomodation +Transportation&amp;Food </t>
  </si>
  <si>
    <t>Deduction</t>
  </si>
  <si>
    <t>Difference between our calculation and your calculation on November Invoice</t>
  </si>
  <si>
    <t>Total Deduction</t>
  </si>
  <si>
    <t>Total (SAR)</t>
  </si>
  <si>
    <t>As agreed to reduce the price of the (food + Transport) from SAR 500 to 200 starting from 1-12-2025</t>
  </si>
  <si>
    <t>From 1-Jan-2026 to 31-Jan-2026</t>
  </si>
  <si>
    <t>Total Working  Hours</t>
  </si>
  <si>
    <t>As agreed to reduce the price of the (food + Transport) from SAR 500 to 200. Deduction for January</t>
  </si>
  <si>
    <t>As agreed to reduce the price of the (food + Transport) from SAR 500 to 200. Deduction for Febraury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</si>
</sst>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indexed="8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color theme="0"/>
      <name val="Times New Roman"/>
      <family val="1"/>
    </font>
    <font>
      <b/>
      <sz val="14"/>
      <color rgb="FFFFFF00"/>
      <name val="Times New Roman"/>
      <family val="1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rgb="FFCC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rgb="FFCC99FF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0" fontId="3" fillId="0" borderId="0"/>
    <xf numFmtId="0" fontId="3" fillId="0" borderId="0"/>
  </cellStyleXfs>
  <cellXfs count="115">
    <xf numFmtId="0" fontId="0" fillId="0" borderId="0" xfId="0"/>
    <xf numFmtId="0" fontId="4" fillId="8" borderId="5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4" fontId="5" fillId="0" borderId="0" xfId="0" applyNumberFormat="1" applyFont="1" applyAlignment="1">
      <alignment horizontal="center" vertical="center"/>
    </xf>
    <xf numFmtId="4" fontId="5" fillId="11" borderId="2" xfId="0" applyNumberFormat="1" applyFont="1" applyFill="1" applyBorder="1" applyAlignment="1">
      <alignment horizontal="center" vertical="center"/>
    </xf>
    <xf numFmtId="4" fontId="8" fillId="12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1" fontId="13" fillId="6" borderId="2" xfId="0" applyNumberFormat="1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 wrapText="1"/>
    </xf>
    <xf numFmtId="0" fontId="13" fillId="11" borderId="2" xfId="1" applyFont="1" applyFill="1" applyBorder="1" applyAlignment="1">
      <alignment horizontal="center" vertical="center" wrapText="1"/>
    </xf>
    <xf numFmtId="0" fontId="13" fillId="12" borderId="2" xfId="1" applyFont="1" applyFill="1" applyBorder="1" applyAlignment="1">
      <alignment horizontal="center" vertical="center" wrapText="1"/>
    </xf>
    <xf numFmtId="0" fontId="13" fillId="13" borderId="2" xfId="1" applyFont="1" applyFill="1" applyBorder="1" applyAlignment="1">
      <alignment horizontal="center" vertical="center" wrapText="1"/>
    </xf>
    <xf numFmtId="4" fontId="14" fillId="11" borderId="2" xfId="0" applyNumberFormat="1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15" fontId="17" fillId="6" borderId="2" xfId="0" quotePrefix="1" applyNumberFormat="1" applyFont="1" applyFill="1" applyBorder="1" applyAlignment="1">
      <alignment horizontal="center" vertical="center" textRotation="90"/>
    </xf>
    <xf numFmtId="0" fontId="13" fillId="6" borderId="2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14" fillId="16" borderId="5" xfId="0" applyFont="1" applyFill="1" applyBorder="1" applyAlignment="1">
      <alignment horizontal="center" vertical="center"/>
    </xf>
    <xf numFmtId="0" fontId="14" fillId="16" borderId="2" xfId="0" applyFont="1" applyFill="1" applyBorder="1" applyAlignment="1">
      <alignment horizontal="center" vertical="center"/>
    </xf>
    <xf numFmtId="15" fontId="10" fillId="6" borderId="9" xfId="0" quotePrefix="1" applyNumberFormat="1" applyFont="1" applyFill="1" applyBorder="1" applyAlignment="1">
      <alignment horizontal="center" vertical="center" textRotation="90"/>
    </xf>
    <xf numFmtId="0" fontId="11" fillId="8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vertical="center" wrapText="1"/>
    </xf>
    <xf numFmtId="4" fontId="5" fillId="10" borderId="2" xfId="0" applyNumberFormat="1" applyFont="1" applyFill="1" applyBorder="1" applyAlignment="1">
      <alignment horizontal="center" vertical="center"/>
    </xf>
    <xf numFmtId="0" fontId="14" fillId="18" borderId="2" xfId="0" applyFont="1" applyFill="1" applyBorder="1" applyAlignment="1">
      <alignment horizontal="center" vertical="center"/>
    </xf>
    <xf numFmtId="4" fontId="14" fillId="18" borderId="2" xfId="0" applyNumberFormat="1" applyFont="1" applyFill="1" applyBorder="1" applyAlignment="1">
      <alignment horizontal="center" vertical="center"/>
    </xf>
    <xf numFmtId="0" fontId="4" fillId="19" borderId="5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22" borderId="2" xfId="0" applyFont="1" applyFill="1" applyBorder="1" applyAlignment="1">
      <alignment horizontal="center" vertical="center"/>
    </xf>
    <xf numFmtId="4" fontId="14" fillId="22" borderId="2" xfId="0" applyNumberFormat="1" applyFont="1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/>
    </xf>
    <xf numFmtId="4" fontId="14" fillId="23" borderId="2" xfId="0" applyNumberFormat="1" applyFont="1" applyFill="1" applyBorder="1" applyAlignment="1">
      <alignment horizontal="center" vertical="center"/>
    </xf>
    <xf numFmtId="0" fontId="14" fillId="23" borderId="2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13" fillId="12" borderId="5" xfId="0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" fontId="14" fillId="11" borderId="2" xfId="0" applyNumberFormat="1" applyFont="1" applyFill="1" applyBorder="1" applyAlignment="1">
      <alignment horizontal="center" vertical="center"/>
    </xf>
    <xf numFmtId="4" fontId="14" fillId="21" borderId="2" xfId="0" applyNumberFormat="1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11" fillId="8" borderId="2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15" fontId="10" fillId="13" borderId="9" xfId="0" quotePrefix="1" applyNumberFormat="1" applyFont="1" applyFill="1" applyBorder="1" applyAlignment="1">
      <alignment horizontal="center" vertical="center" textRotation="90"/>
    </xf>
    <xf numFmtId="0" fontId="11" fillId="20" borderId="2" xfId="0" applyFont="1" applyFill="1" applyBorder="1" applyAlignment="1">
      <alignment horizontal="center"/>
    </xf>
    <xf numFmtId="0" fontId="13" fillId="24" borderId="2" xfId="1" applyFont="1" applyFill="1" applyBorder="1" applyAlignment="1">
      <alignment horizontal="center" vertical="center" wrapText="1"/>
    </xf>
    <xf numFmtId="0" fontId="13" fillId="24" borderId="5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vertical="center"/>
    </xf>
    <xf numFmtId="0" fontId="8" fillId="15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4" fillId="22" borderId="6" xfId="0" applyFont="1" applyFill="1" applyBorder="1" applyAlignment="1">
      <alignment horizontal="left" vertical="center"/>
    </xf>
    <xf numFmtId="0" fontId="14" fillId="22" borderId="7" xfId="0" applyFont="1" applyFill="1" applyBorder="1" applyAlignment="1">
      <alignment horizontal="left" vertical="center"/>
    </xf>
    <xf numFmtId="0" fontId="14" fillId="22" borderId="8" xfId="0" applyFont="1" applyFill="1" applyBorder="1" applyAlignment="1">
      <alignment horizontal="left" vertical="center"/>
    </xf>
    <xf numFmtId="0" fontId="14" fillId="20" borderId="3" xfId="0" applyFont="1" applyFill="1" applyBorder="1" applyAlignment="1">
      <alignment horizontal="center" vertical="center"/>
    </xf>
    <xf numFmtId="0" fontId="14" fillId="20" borderId="0" xfId="0" applyFont="1" applyFill="1" applyAlignment="1">
      <alignment horizontal="center" vertical="center"/>
    </xf>
    <xf numFmtId="0" fontId="5" fillId="21" borderId="6" xfId="0" applyFont="1" applyFill="1" applyBorder="1" applyAlignment="1">
      <alignment horizontal="left" vertical="center"/>
    </xf>
    <xf numFmtId="0" fontId="5" fillId="21" borderId="7" xfId="0" applyFont="1" applyFill="1" applyBorder="1" applyAlignment="1">
      <alignment horizontal="left" vertical="center"/>
    </xf>
    <xf numFmtId="0" fontId="5" fillId="21" borderId="8" xfId="0" applyFont="1" applyFill="1" applyBorder="1" applyAlignment="1">
      <alignment horizontal="left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8" fillId="15" borderId="6" xfId="0" applyFont="1" applyFill="1" applyBorder="1" applyAlignment="1">
      <alignment horizontal="left" vertical="center"/>
    </xf>
    <xf numFmtId="0" fontId="8" fillId="15" borderId="7" xfId="0" applyFont="1" applyFill="1" applyBorder="1" applyAlignment="1">
      <alignment horizontal="left" vertical="center"/>
    </xf>
    <xf numFmtId="0" fontId="8" fillId="15" borderId="8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4" fontId="14" fillId="0" borderId="0" xfId="0" applyNumberFormat="1" applyFont="1" applyFill="1" applyBorder="1" applyAlignment="1">
      <alignment horizontal="center" vertical="center"/>
    </xf>
  </cellXfs>
  <cellStyles count="5">
    <cellStyle name="Check Cell" xfId="1" builtinId="23"/>
    <cellStyle name="Normal" xfId="0" builtinId="0"/>
    <cellStyle name="Normal 15" xfId="4" xr:uid="{00000000-0005-0000-0000-000002000000}"/>
    <cellStyle name="Normal 2" xfId="2" xr:uid="{00000000-0005-0000-0000-000003000000}"/>
    <cellStyle name="Normal 6" xfId="3" xr:uid="{00000000-0005-0000-0000-000004000000}"/>
  </cellStyles>
  <dxfs count="170"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ont>
        <b val="0"/>
        <i val="0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169"/>
    </tableStyle>
  </tableStyles>
  <colors>
    <mruColors>
      <color rgb="FFCC99FF"/>
      <color rgb="FFCCFF66"/>
      <color rgb="FFFF0000"/>
      <color rgb="FF009999"/>
      <color rgb="FF33CCCC"/>
      <color rgb="FFFF3300"/>
      <color rgb="FF00CC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5C65-1984-4BDA-B21C-D78FE6C6A7D5}">
  <sheetPr>
    <pageSetUpPr fitToPage="1"/>
  </sheetPr>
  <dimension ref="A1:AT30"/>
  <sheetViews>
    <sheetView topLeftCell="AI2" zoomScale="82" zoomScaleNormal="82" workbookViewId="0">
      <selection activeCell="AR3" sqref="AR3"/>
    </sheetView>
  </sheetViews>
  <sheetFormatPr defaultColWidth="9.1796875" defaultRowHeight="18.5" x14ac:dyDescent="0.35"/>
  <cols>
    <col min="1" max="1" width="8.1796875" style="6" bestFit="1" customWidth="1"/>
    <col min="2" max="2" width="16" style="3" bestFit="1" customWidth="1"/>
    <col min="3" max="3" width="16.26953125" style="7" bestFit="1" customWidth="1"/>
    <col min="4" max="4" width="30.36328125" style="27" customWidth="1"/>
    <col min="5" max="5" width="16.7265625" style="3" bestFit="1" customWidth="1"/>
    <col min="6" max="6" width="10.26953125" style="3" customWidth="1"/>
    <col min="7" max="7" width="9.1796875" style="3" customWidth="1"/>
    <col min="8" max="9" width="7.1796875" style="3" customWidth="1"/>
    <col min="10" max="10" width="8.6328125" style="3" customWidth="1"/>
    <col min="11" max="16" width="7.1796875" style="3" customWidth="1"/>
    <col min="17" max="17" width="8.6328125" style="3" customWidth="1"/>
    <col min="18" max="23" width="7.1796875" style="3" customWidth="1"/>
    <col min="24" max="24" width="8.6328125" style="3" customWidth="1"/>
    <col min="25" max="25" width="7.81640625" style="3" bestFit="1" customWidth="1"/>
    <col min="26" max="30" width="7.1796875" style="3" customWidth="1"/>
    <col min="31" max="31" width="8.6328125" style="3" customWidth="1"/>
    <col min="32" max="36" width="7.1796875" style="3" customWidth="1"/>
    <col min="37" max="37" width="6.7265625" style="3" bestFit="1" customWidth="1"/>
    <col min="38" max="38" width="8.6328125" style="3" customWidth="1"/>
    <col min="39" max="40" width="7.1796875" style="3" customWidth="1"/>
    <col min="41" max="41" width="9.1796875" style="3"/>
    <col min="42" max="42" width="10.36328125" style="3" customWidth="1"/>
    <col min="43" max="43" width="12.81640625" style="3" customWidth="1"/>
    <col min="44" max="44" width="73.90625" style="3" bestFit="1" customWidth="1"/>
    <col min="45" max="45" width="38.90625" style="3" customWidth="1"/>
    <col min="46" max="46" width="14.90625" style="28" bestFit="1" customWidth="1"/>
    <col min="47" max="16384" width="9.1796875" style="3"/>
  </cols>
  <sheetData>
    <row r="1" spans="1:46" ht="41.5" customHeight="1" x14ac:dyDescent="0.35">
      <c r="A1" s="91" t="s">
        <v>79</v>
      </c>
      <c r="B1" s="91"/>
      <c r="C1" s="91"/>
      <c r="D1" s="91"/>
      <c r="E1" s="92" t="s">
        <v>78</v>
      </c>
      <c r="F1" s="92"/>
      <c r="G1" s="92"/>
      <c r="H1" s="92"/>
      <c r="I1" s="92"/>
      <c r="J1" s="92"/>
      <c r="K1" s="93" t="s">
        <v>7</v>
      </c>
      <c r="L1" s="93"/>
      <c r="M1" s="94" t="s">
        <v>4</v>
      </c>
      <c r="N1" s="94"/>
      <c r="O1" s="95" t="s">
        <v>5</v>
      </c>
      <c r="P1" s="95"/>
      <c r="Q1" s="90" t="s">
        <v>73</v>
      </c>
      <c r="R1" s="90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6" s="42" customFormat="1" ht="90.5" customHeight="1" x14ac:dyDescent="0.35">
      <c r="A2" s="35" t="s">
        <v>0</v>
      </c>
      <c r="B2" s="35" t="s">
        <v>40</v>
      </c>
      <c r="C2" s="36" t="s">
        <v>39</v>
      </c>
      <c r="D2" s="35" t="s">
        <v>6</v>
      </c>
      <c r="E2" s="35" t="s">
        <v>38</v>
      </c>
      <c r="F2" s="35" t="s">
        <v>3</v>
      </c>
      <c r="G2" s="37" t="s">
        <v>72</v>
      </c>
      <c r="H2" s="44">
        <v>45959</v>
      </c>
      <c r="I2" s="44">
        <v>45960</v>
      </c>
      <c r="J2" s="44">
        <v>45961</v>
      </c>
      <c r="K2" s="44" t="s">
        <v>42</v>
      </c>
      <c r="L2" s="44" t="s">
        <v>43</v>
      </c>
      <c r="M2" s="44" t="s">
        <v>44</v>
      </c>
      <c r="N2" s="44" t="s">
        <v>45</v>
      </c>
      <c r="O2" s="44" t="s">
        <v>46</v>
      </c>
      <c r="P2" s="44" t="s">
        <v>47</v>
      </c>
      <c r="Q2" s="44" t="s">
        <v>48</v>
      </c>
      <c r="R2" s="44" t="s">
        <v>49</v>
      </c>
      <c r="S2" s="44" t="s">
        <v>50</v>
      </c>
      <c r="T2" s="44" t="s">
        <v>51</v>
      </c>
      <c r="U2" s="44" t="s">
        <v>52</v>
      </c>
      <c r="V2" s="44" t="s">
        <v>53</v>
      </c>
      <c r="W2" s="44" t="s">
        <v>54</v>
      </c>
      <c r="X2" s="44" t="s">
        <v>55</v>
      </c>
      <c r="Y2" s="44" t="s">
        <v>75</v>
      </c>
      <c r="Z2" s="44" t="s">
        <v>56</v>
      </c>
      <c r="AA2" s="44" t="s">
        <v>57</v>
      </c>
      <c r="AB2" s="44" t="s">
        <v>58</v>
      </c>
      <c r="AC2" s="44" t="s">
        <v>59</v>
      </c>
      <c r="AD2" s="44" t="s">
        <v>60</v>
      </c>
      <c r="AE2" s="44" t="s">
        <v>61</v>
      </c>
      <c r="AF2" s="44" t="s">
        <v>62</v>
      </c>
      <c r="AG2" s="44" t="s">
        <v>63</v>
      </c>
      <c r="AH2" s="44" t="s">
        <v>64</v>
      </c>
      <c r="AI2" s="44" t="s">
        <v>65</v>
      </c>
      <c r="AJ2" s="44" t="s">
        <v>66</v>
      </c>
      <c r="AK2" s="44" t="s">
        <v>67</v>
      </c>
      <c r="AL2" s="44" t="s">
        <v>68</v>
      </c>
      <c r="AM2" s="44" t="s">
        <v>69</v>
      </c>
      <c r="AN2" s="44" t="s">
        <v>70</v>
      </c>
      <c r="AO2" s="38" t="s">
        <v>1</v>
      </c>
      <c r="AP2" s="39" t="s">
        <v>76</v>
      </c>
      <c r="AQ2" s="40" t="s">
        <v>77</v>
      </c>
      <c r="AR2" s="35" t="s">
        <v>2</v>
      </c>
      <c r="AS2" s="35" t="s">
        <v>74</v>
      </c>
      <c r="AT2" s="41" t="s">
        <v>80</v>
      </c>
    </row>
    <row r="3" spans="1:46" ht="24" customHeight="1" x14ac:dyDescent="0.35">
      <c r="A3" s="10">
        <v>1</v>
      </c>
      <c r="B3" s="10">
        <v>2493987735</v>
      </c>
      <c r="C3" s="10">
        <v>571383147</v>
      </c>
      <c r="D3" s="25" t="s">
        <v>8</v>
      </c>
      <c r="E3" s="11" t="s">
        <v>9</v>
      </c>
      <c r="F3" s="11" t="s">
        <v>10</v>
      </c>
      <c r="G3" s="32">
        <v>25</v>
      </c>
      <c r="H3" s="1">
        <v>10</v>
      </c>
      <c r="I3" s="1">
        <v>10</v>
      </c>
      <c r="J3" s="12"/>
      <c r="K3" s="1">
        <v>10</v>
      </c>
      <c r="L3" s="1">
        <v>10</v>
      </c>
      <c r="M3" s="1">
        <v>10</v>
      </c>
      <c r="N3" s="1">
        <v>10</v>
      </c>
      <c r="O3" s="1">
        <v>10</v>
      </c>
      <c r="P3" s="1">
        <v>10</v>
      </c>
      <c r="Q3" s="12"/>
      <c r="R3" s="1">
        <v>10</v>
      </c>
      <c r="S3" s="1">
        <v>10</v>
      </c>
      <c r="T3" s="1">
        <v>10</v>
      </c>
      <c r="U3" s="1">
        <v>10</v>
      </c>
      <c r="V3" s="1">
        <v>10</v>
      </c>
      <c r="W3" s="1">
        <v>10</v>
      </c>
      <c r="X3" s="12"/>
      <c r="Y3" s="1">
        <v>10</v>
      </c>
      <c r="Z3" s="1">
        <v>10</v>
      </c>
      <c r="AA3" s="1">
        <v>10</v>
      </c>
      <c r="AB3" s="1">
        <v>10</v>
      </c>
      <c r="AC3" s="1">
        <v>10</v>
      </c>
      <c r="AD3" s="1">
        <v>10</v>
      </c>
      <c r="AE3" s="12"/>
      <c r="AF3" s="1">
        <v>10</v>
      </c>
      <c r="AG3" s="1">
        <v>10</v>
      </c>
      <c r="AH3" s="13">
        <v>0</v>
      </c>
      <c r="AI3" s="1">
        <v>10</v>
      </c>
      <c r="AJ3" s="1">
        <v>10</v>
      </c>
      <c r="AK3" s="1">
        <v>10</v>
      </c>
      <c r="AL3" s="12"/>
      <c r="AM3" s="1">
        <v>10</v>
      </c>
      <c r="AN3" s="1">
        <v>10</v>
      </c>
      <c r="AO3" s="14">
        <f>SUM(H3:AN3)</f>
        <v>270</v>
      </c>
      <c r="AP3" s="15">
        <v>1</v>
      </c>
      <c r="AQ3" s="16">
        <f>30*AP3</f>
        <v>30</v>
      </c>
      <c r="AR3" s="1" t="s">
        <v>93</v>
      </c>
      <c r="AS3" s="1"/>
      <c r="AT3" s="29">
        <f>G3*AO3-AQ3</f>
        <v>6720</v>
      </c>
    </row>
    <row r="4" spans="1:46" ht="24" customHeight="1" x14ac:dyDescent="0.35">
      <c r="A4" s="17">
        <v>2</v>
      </c>
      <c r="B4" s="17">
        <v>2540375504</v>
      </c>
      <c r="C4" s="18">
        <v>534367195</v>
      </c>
      <c r="D4" s="26" t="s">
        <v>27</v>
      </c>
      <c r="E4" s="19" t="s">
        <v>9</v>
      </c>
      <c r="F4" s="19" t="s">
        <v>10</v>
      </c>
      <c r="G4" s="33">
        <v>25</v>
      </c>
      <c r="H4" s="17"/>
      <c r="I4" s="17"/>
      <c r="J4" s="23"/>
      <c r="K4" s="17"/>
      <c r="L4" s="17"/>
      <c r="M4" s="17"/>
      <c r="N4" s="17"/>
      <c r="O4" s="17"/>
      <c r="P4" s="17"/>
      <c r="Q4" s="5"/>
      <c r="R4" s="17"/>
      <c r="S4" s="17"/>
      <c r="T4" s="17"/>
      <c r="U4" s="17"/>
      <c r="V4" s="17"/>
      <c r="W4" s="2">
        <v>10</v>
      </c>
      <c r="X4" s="5"/>
      <c r="Y4" s="2">
        <v>10</v>
      </c>
      <c r="Z4" s="2">
        <v>10</v>
      </c>
      <c r="AA4" s="2">
        <v>10</v>
      </c>
      <c r="AB4" s="2">
        <v>10</v>
      </c>
      <c r="AC4" s="2">
        <v>10</v>
      </c>
      <c r="AD4" s="2">
        <v>10</v>
      </c>
      <c r="AE4" s="5"/>
      <c r="AF4" s="8">
        <v>0</v>
      </c>
      <c r="AG4" s="2">
        <v>10</v>
      </c>
      <c r="AH4" s="2">
        <v>10</v>
      </c>
      <c r="AI4" s="2">
        <v>10</v>
      </c>
      <c r="AJ4" s="2">
        <v>10</v>
      </c>
      <c r="AK4" s="2">
        <v>10</v>
      </c>
      <c r="AL4" s="5"/>
      <c r="AM4" s="2">
        <v>10</v>
      </c>
      <c r="AN4" s="2">
        <v>10</v>
      </c>
      <c r="AO4" s="20">
        <f t="shared" ref="AO4:AO29" si="0">SUM(H4:AN4)</f>
        <v>140</v>
      </c>
      <c r="AP4" s="21">
        <v>1</v>
      </c>
      <c r="AQ4" s="22">
        <f t="shared" ref="AQ4:AQ29" si="1">30*AP4</f>
        <v>30</v>
      </c>
      <c r="AR4" s="1" t="s">
        <v>93</v>
      </c>
      <c r="AS4" s="2"/>
      <c r="AT4" s="29">
        <f t="shared" ref="AT4:AT29" si="2">G4*AO4-AQ4</f>
        <v>3470</v>
      </c>
    </row>
    <row r="5" spans="1:46" ht="24" customHeight="1" x14ac:dyDescent="0.35">
      <c r="A5" s="17">
        <v>3</v>
      </c>
      <c r="B5" s="17">
        <v>2509110447</v>
      </c>
      <c r="C5" s="18">
        <v>574769759</v>
      </c>
      <c r="D5" s="26" t="s">
        <v>11</v>
      </c>
      <c r="E5" s="19" t="s">
        <v>9</v>
      </c>
      <c r="F5" s="19" t="s">
        <v>10</v>
      </c>
      <c r="G5" s="33">
        <v>25</v>
      </c>
      <c r="H5" s="2">
        <v>10</v>
      </c>
      <c r="I5" s="2">
        <v>10</v>
      </c>
      <c r="J5" s="5"/>
      <c r="K5" s="2">
        <v>10</v>
      </c>
      <c r="L5" s="2">
        <v>10</v>
      </c>
      <c r="M5" s="2">
        <v>10</v>
      </c>
      <c r="N5" s="2">
        <v>10</v>
      </c>
      <c r="O5" s="2">
        <v>10</v>
      </c>
      <c r="P5" s="2">
        <v>10</v>
      </c>
      <c r="Q5" s="5"/>
      <c r="R5" s="2">
        <v>10</v>
      </c>
      <c r="S5" s="2">
        <v>10</v>
      </c>
      <c r="T5" s="2">
        <v>10</v>
      </c>
      <c r="U5" s="2">
        <v>10</v>
      </c>
      <c r="V5" s="2">
        <v>10</v>
      </c>
      <c r="W5" s="2">
        <v>10</v>
      </c>
      <c r="X5" s="5"/>
      <c r="Y5" s="2">
        <v>10</v>
      </c>
      <c r="Z5" s="2">
        <v>10</v>
      </c>
      <c r="AA5" s="2">
        <v>10</v>
      </c>
      <c r="AB5" s="2">
        <v>10</v>
      </c>
      <c r="AC5" s="2">
        <v>10</v>
      </c>
      <c r="AD5" s="2">
        <v>10</v>
      </c>
      <c r="AE5" s="5"/>
      <c r="AF5" s="2">
        <v>10</v>
      </c>
      <c r="AG5" s="8">
        <v>0</v>
      </c>
      <c r="AH5" s="8">
        <v>0</v>
      </c>
      <c r="AI5" s="2">
        <v>10</v>
      </c>
      <c r="AJ5" s="2">
        <v>10</v>
      </c>
      <c r="AK5" s="2">
        <v>10</v>
      </c>
      <c r="AL5" s="5"/>
      <c r="AM5" s="2">
        <v>10</v>
      </c>
      <c r="AN5" s="2">
        <v>10</v>
      </c>
      <c r="AO5" s="20">
        <f t="shared" si="0"/>
        <v>260</v>
      </c>
      <c r="AP5" s="21">
        <v>2</v>
      </c>
      <c r="AQ5" s="22">
        <f t="shared" si="1"/>
        <v>60</v>
      </c>
      <c r="AR5" s="1" t="s">
        <v>93</v>
      </c>
      <c r="AS5" s="2"/>
      <c r="AT5" s="29">
        <f t="shared" si="2"/>
        <v>6440</v>
      </c>
    </row>
    <row r="6" spans="1:46" ht="37" x14ac:dyDescent="0.35">
      <c r="A6" s="17">
        <v>4</v>
      </c>
      <c r="B6" s="17">
        <v>2247046150</v>
      </c>
      <c r="C6" s="18">
        <v>551491295</v>
      </c>
      <c r="D6" s="26" t="s">
        <v>13</v>
      </c>
      <c r="E6" s="19" t="s">
        <v>12</v>
      </c>
      <c r="F6" s="19" t="s">
        <v>10</v>
      </c>
      <c r="G6" s="57">
        <v>25</v>
      </c>
      <c r="H6" s="17">
        <v>10</v>
      </c>
      <c r="I6" s="17">
        <v>10</v>
      </c>
      <c r="J6" s="23"/>
      <c r="K6" s="2">
        <v>10</v>
      </c>
      <c r="L6" s="2">
        <v>10</v>
      </c>
      <c r="M6" s="2">
        <v>10</v>
      </c>
      <c r="N6" s="2">
        <v>10</v>
      </c>
      <c r="O6" s="2">
        <v>10</v>
      </c>
      <c r="P6" s="2">
        <v>10</v>
      </c>
      <c r="Q6" s="5"/>
      <c r="R6" s="2">
        <v>10</v>
      </c>
      <c r="S6" s="2">
        <v>10</v>
      </c>
      <c r="T6" s="2">
        <v>10</v>
      </c>
      <c r="U6" s="2">
        <v>10</v>
      </c>
      <c r="V6" s="2">
        <v>10</v>
      </c>
      <c r="W6" s="2">
        <v>10</v>
      </c>
      <c r="X6" s="5"/>
      <c r="Y6" s="9">
        <v>10</v>
      </c>
      <c r="Z6" s="9">
        <v>10</v>
      </c>
      <c r="AA6" s="9">
        <v>10</v>
      </c>
      <c r="AB6" s="9">
        <v>10</v>
      </c>
      <c r="AC6" s="9">
        <v>10</v>
      </c>
      <c r="AD6" s="9">
        <v>10</v>
      </c>
      <c r="AE6" s="5"/>
      <c r="AF6" s="9">
        <v>10</v>
      </c>
      <c r="AG6" s="9">
        <v>10</v>
      </c>
      <c r="AH6" s="8">
        <v>0</v>
      </c>
      <c r="AI6" s="9">
        <v>10</v>
      </c>
      <c r="AJ6" s="9">
        <v>10</v>
      </c>
      <c r="AK6" s="9">
        <v>10</v>
      </c>
      <c r="AL6" s="5"/>
      <c r="AM6" s="9">
        <v>10</v>
      </c>
      <c r="AN6" s="9">
        <v>10</v>
      </c>
      <c r="AO6" s="20">
        <f t="shared" si="0"/>
        <v>270</v>
      </c>
      <c r="AP6" s="21">
        <v>1</v>
      </c>
      <c r="AQ6" s="22">
        <f t="shared" si="1"/>
        <v>30</v>
      </c>
      <c r="AR6" s="1" t="s">
        <v>93</v>
      </c>
      <c r="AS6" s="58" t="s">
        <v>90</v>
      </c>
      <c r="AT6" s="59">
        <f>19*SUM(H6:W6)+ 25*SUM(Y6:AN6)-AQ6</f>
        <v>5880</v>
      </c>
    </row>
    <row r="7" spans="1:46" ht="35" customHeight="1" x14ac:dyDescent="0.35">
      <c r="A7" s="17">
        <v>21</v>
      </c>
      <c r="B7" s="17">
        <v>2547591764</v>
      </c>
      <c r="C7" s="18">
        <v>571436210</v>
      </c>
      <c r="D7" s="26" t="s">
        <v>31</v>
      </c>
      <c r="E7" s="19" t="s">
        <v>12</v>
      </c>
      <c r="F7" s="19" t="s">
        <v>10</v>
      </c>
      <c r="G7" s="57">
        <v>25</v>
      </c>
      <c r="H7" s="17"/>
      <c r="I7" s="17"/>
      <c r="J7" s="23"/>
      <c r="K7" s="2"/>
      <c r="L7" s="2"/>
      <c r="M7" s="2"/>
      <c r="N7" s="2"/>
      <c r="O7" s="2"/>
      <c r="P7" s="2"/>
      <c r="Q7" s="5"/>
      <c r="R7" s="2"/>
      <c r="S7" s="2"/>
      <c r="T7" s="2"/>
      <c r="U7" s="2"/>
      <c r="V7" s="2"/>
      <c r="W7" s="2">
        <v>10</v>
      </c>
      <c r="X7" s="5"/>
      <c r="Y7" s="2">
        <v>10</v>
      </c>
      <c r="Z7" s="2">
        <v>10</v>
      </c>
      <c r="AA7" s="2">
        <v>10</v>
      </c>
      <c r="AB7" s="2">
        <v>10</v>
      </c>
      <c r="AC7" s="2">
        <v>10</v>
      </c>
      <c r="AD7" s="2">
        <v>10</v>
      </c>
      <c r="AE7" s="5"/>
      <c r="AF7" s="8">
        <v>0</v>
      </c>
      <c r="AG7" s="2">
        <v>10</v>
      </c>
      <c r="AH7" s="2">
        <v>10</v>
      </c>
      <c r="AI7" s="8">
        <v>0</v>
      </c>
      <c r="AJ7" s="2">
        <v>10</v>
      </c>
      <c r="AK7" s="9">
        <v>10</v>
      </c>
      <c r="AL7" s="5"/>
      <c r="AM7" s="9">
        <v>10</v>
      </c>
      <c r="AN7" s="9">
        <v>10</v>
      </c>
      <c r="AO7" s="20">
        <f>SUM(H7:AN7)</f>
        <v>130</v>
      </c>
      <c r="AP7" s="21">
        <v>2</v>
      </c>
      <c r="AQ7" s="22">
        <f>30*AP7</f>
        <v>60</v>
      </c>
      <c r="AR7" s="1" t="s">
        <v>93</v>
      </c>
      <c r="AS7" s="58" t="s">
        <v>91</v>
      </c>
      <c r="AT7" s="59">
        <f>19*SUM(H7:W7)+ 25*SUM(Y7:AN7)-AQ7</f>
        <v>3130</v>
      </c>
    </row>
    <row r="8" spans="1:46" ht="24" customHeight="1" x14ac:dyDescent="0.35">
      <c r="A8" s="17">
        <v>5</v>
      </c>
      <c r="B8" s="17">
        <v>2351621194</v>
      </c>
      <c r="C8" s="18">
        <v>548908860</v>
      </c>
      <c r="D8" s="26" t="s">
        <v>14</v>
      </c>
      <c r="E8" s="19" t="s">
        <v>41</v>
      </c>
      <c r="F8" s="19" t="s">
        <v>10</v>
      </c>
      <c r="G8" s="33">
        <v>19</v>
      </c>
      <c r="H8" s="17">
        <v>10</v>
      </c>
      <c r="I8" s="17">
        <v>10</v>
      </c>
      <c r="J8" s="23"/>
      <c r="K8" s="2">
        <v>10</v>
      </c>
      <c r="L8" s="2">
        <v>10</v>
      </c>
      <c r="M8" s="2">
        <v>10</v>
      </c>
      <c r="N8" s="2">
        <v>10</v>
      </c>
      <c r="O8" s="2">
        <v>10</v>
      </c>
      <c r="P8" s="2">
        <v>10</v>
      </c>
      <c r="Q8" s="5"/>
      <c r="R8" s="2">
        <v>10</v>
      </c>
      <c r="S8" s="2">
        <v>10</v>
      </c>
      <c r="T8" s="2">
        <v>10</v>
      </c>
      <c r="U8" s="2">
        <v>10</v>
      </c>
      <c r="V8" s="2">
        <v>10</v>
      </c>
      <c r="W8" s="2">
        <v>10</v>
      </c>
      <c r="X8" s="5"/>
      <c r="Y8" s="2">
        <v>10</v>
      </c>
      <c r="Z8" s="2">
        <v>10</v>
      </c>
      <c r="AA8" s="2">
        <v>10</v>
      </c>
      <c r="AB8" s="2">
        <v>10</v>
      </c>
      <c r="AC8" s="2">
        <v>10</v>
      </c>
      <c r="AD8" s="2">
        <v>10</v>
      </c>
      <c r="AE8" s="5"/>
      <c r="AF8" s="2">
        <v>10</v>
      </c>
      <c r="AG8" s="2">
        <v>10</v>
      </c>
      <c r="AH8" s="8">
        <v>0</v>
      </c>
      <c r="AI8" s="2">
        <v>10</v>
      </c>
      <c r="AJ8" s="2">
        <v>10</v>
      </c>
      <c r="AK8" s="2">
        <v>10</v>
      </c>
      <c r="AL8" s="5"/>
      <c r="AM8" s="2">
        <v>10</v>
      </c>
      <c r="AN8" s="2">
        <v>10</v>
      </c>
      <c r="AO8" s="20">
        <f t="shared" si="0"/>
        <v>270</v>
      </c>
      <c r="AP8" s="21">
        <v>1</v>
      </c>
      <c r="AQ8" s="22">
        <f t="shared" si="1"/>
        <v>30</v>
      </c>
      <c r="AR8" s="1" t="s">
        <v>93</v>
      </c>
      <c r="AS8" s="2"/>
      <c r="AT8" s="29">
        <f t="shared" si="2"/>
        <v>5100</v>
      </c>
    </row>
    <row r="9" spans="1:46" ht="24" customHeight="1" x14ac:dyDescent="0.35">
      <c r="A9" s="17">
        <v>6</v>
      </c>
      <c r="B9" s="17">
        <v>2512006061</v>
      </c>
      <c r="C9" s="18">
        <v>571088456</v>
      </c>
      <c r="D9" s="26" t="s">
        <v>15</v>
      </c>
      <c r="E9" s="19" t="s">
        <v>41</v>
      </c>
      <c r="F9" s="19" t="s">
        <v>10</v>
      </c>
      <c r="G9" s="33">
        <v>19</v>
      </c>
      <c r="H9" s="17">
        <v>10</v>
      </c>
      <c r="I9" s="17">
        <v>10</v>
      </c>
      <c r="J9" s="23"/>
      <c r="K9" s="2">
        <v>10</v>
      </c>
      <c r="L9" s="2">
        <v>10</v>
      </c>
      <c r="M9" s="2">
        <v>10</v>
      </c>
      <c r="N9" s="2">
        <v>10</v>
      </c>
      <c r="O9" s="8">
        <v>0</v>
      </c>
      <c r="P9" s="2">
        <v>10</v>
      </c>
      <c r="Q9" s="5"/>
      <c r="R9" s="2">
        <v>10</v>
      </c>
      <c r="S9" s="2">
        <v>10</v>
      </c>
      <c r="T9" s="2">
        <v>10</v>
      </c>
      <c r="U9" s="2">
        <v>10</v>
      </c>
      <c r="V9" s="2">
        <v>10</v>
      </c>
      <c r="W9" s="2">
        <v>10</v>
      </c>
      <c r="X9" s="5"/>
      <c r="Y9" s="8">
        <v>0</v>
      </c>
      <c r="Z9" s="2">
        <v>10</v>
      </c>
      <c r="AA9" s="2">
        <v>10</v>
      </c>
      <c r="AB9" s="2">
        <v>10</v>
      </c>
      <c r="AC9" s="2">
        <v>10</v>
      </c>
      <c r="AD9" s="2">
        <v>10</v>
      </c>
      <c r="AE9" s="5"/>
      <c r="AF9" s="2">
        <v>10</v>
      </c>
      <c r="AG9" s="2">
        <v>10</v>
      </c>
      <c r="AH9" s="8">
        <v>0</v>
      </c>
      <c r="AI9" s="2">
        <v>10</v>
      </c>
      <c r="AJ9" s="2">
        <v>10</v>
      </c>
      <c r="AK9" s="2">
        <v>10</v>
      </c>
      <c r="AL9" s="5"/>
      <c r="AM9" s="8">
        <v>0</v>
      </c>
      <c r="AN9" s="2">
        <v>10</v>
      </c>
      <c r="AO9" s="20">
        <f t="shared" si="0"/>
        <v>240</v>
      </c>
      <c r="AP9" s="21">
        <v>4</v>
      </c>
      <c r="AQ9" s="22">
        <f t="shared" si="1"/>
        <v>120</v>
      </c>
      <c r="AR9" s="1" t="s">
        <v>93</v>
      </c>
      <c r="AS9" s="2"/>
      <c r="AT9" s="29">
        <f t="shared" si="2"/>
        <v>4440</v>
      </c>
    </row>
    <row r="10" spans="1:46" ht="24" customHeight="1" x14ac:dyDescent="0.35">
      <c r="A10" s="17">
        <v>7</v>
      </c>
      <c r="B10" s="17">
        <v>2584914788</v>
      </c>
      <c r="C10" s="18">
        <v>566029581</v>
      </c>
      <c r="D10" s="26" t="s">
        <v>16</v>
      </c>
      <c r="E10" s="19" t="s">
        <v>41</v>
      </c>
      <c r="F10" s="19" t="s">
        <v>10</v>
      </c>
      <c r="G10" s="33">
        <v>19</v>
      </c>
      <c r="H10" s="17">
        <v>10</v>
      </c>
      <c r="I10" s="17">
        <v>10</v>
      </c>
      <c r="J10" s="23"/>
      <c r="K10" s="2">
        <v>10</v>
      </c>
      <c r="L10" s="2">
        <v>10</v>
      </c>
      <c r="M10" s="2">
        <v>10</v>
      </c>
      <c r="N10" s="2">
        <v>10</v>
      </c>
      <c r="O10" s="2">
        <v>10</v>
      </c>
      <c r="P10" s="2">
        <v>10</v>
      </c>
      <c r="Q10" s="5"/>
      <c r="R10" s="2">
        <v>10</v>
      </c>
      <c r="S10" s="2">
        <v>10</v>
      </c>
      <c r="T10" s="2">
        <v>10</v>
      </c>
      <c r="U10" s="2">
        <v>10</v>
      </c>
      <c r="V10" s="2">
        <v>10</v>
      </c>
      <c r="W10" s="2">
        <v>10</v>
      </c>
      <c r="X10" s="5"/>
      <c r="Y10" s="2">
        <v>10</v>
      </c>
      <c r="Z10" s="2">
        <v>10</v>
      </c>
      <c r="AA10" s="2">
        <v>10</v>
      </c>
      <c r="AB10" s="2">
        <v>10</v>
      </c>
      <c r="AC10" s="2">
        <v>10</v>
      </c>
      <c r="AD10" s="2">
        <v>10</v>
      </c>
      <c r="AE10" s="5"/>
      <c r="AF10" s="2">
        <v>10</v>
      </c>
      <c r="AG10" s="2">
        <v>10</v>
      </c>
      <c r="AH10" s="8">
        <v>0</v>
      </c>
      <c r="AI10" s="2">
        <v>10</v>
      </c>
      <c r="AJ10" s="2">
        <v>10</v>
      </c>
      <c r="AK10" s="2">
        <v>10</v>
      </c>
      <c r="AL10" s="5"/>
      <c r="AM10" s="2">
        <v>10</v>
      </c>
      <c r="AN10" s="2">
        <v>10</v>
      </c>
      <c r="AO10" s="20">
        <f t="shared" si="0"/>
        <v>270</v>
      </c>
      <c r="AP10" s="21">
        <v>1</v>
      </c>
      <c r="AQ10" s="22">
        <f t="shared" si="1"/>
        <v>30</v>
      </c>
      <c r="AR10" s="1" t="s">
        <v>93</v>
      </c>
      <c r="AS10" s="2"/>
      <c r="AT10" s="29">
        <f t="shared" si="2"/>
        <v>5100</v>
      </c>
    </row>
    <row r="11" spans="1:46" ht="24" customHeight="1" x14ac:dyDescent="0.35">
      <c r="A11" s="17">
        <v>8</v>
      </c>
      <c r="B11" s="17">
        <v>2511001477</v>
      </c>
      <c r="C11" s="18">
        <v>570175745</v>
      </c>
      <c r="D11" s="26" t="s">
        <v>17</v>
      </c>
      <c r="E11" s="19" t="s">
        <v>41</v>
      </c>
      <c r="F11" s="19" t="s">
        <v>10</v>
      </c>
      <c r="G11" s="33">
        <v>19</v>
      </c>
      <c r="H11" s="17">
        <v>10</v>
      </c>
      <c r="I11" s="17">
        <v>10</v>
      </c>
      <c r="J11" s="23"/>
      <c r="K11" s="2">
        <v>10</v>
      </c>
      <c r="L11" s="2">
        <v>10</v>
      </c>
      <c r="M11" s="2">
        <v>10</v>
      </c>
      <c r="N11" s="2">
        <v>10</v>
      </c>
      <c r="O11" s="2">
        <v>10</v>
      </c>
      <c r="P11" s="2">
        <v>10</v>
      </c>
      <c r="Q11" s="5"/>
      <c r="R11" s="8">
        <v>0</v>
      </c>
      <c r="S11" s="2">
        <v>10</v>
      </c>
      <c r="T11" s="2">
        <v>10</v>
      </c>
      <c r="U11" s="2">
        <v>10</v>
      </c>
      <c r="V11" s="2">
        <v>10</v>
      </c>
      <c r="W11" s="2">
        <v>10</v>
      </c>
      <c r="X11" s="5"/>
      <c r="Y11" s="2">
        <v>10</v>
      </c>
      <c r="Z11" s="2">
        <v>10</v>
      </c>
      <c r="AA11" s="2">
        <v>10</v>
      </c>
      <c r="AB11" s="2">
        <v>10</v>
      </c>
      <c r="AC11" s="2">
        <v>10</v>
      </c>
      <c r="AD11" s="2">
        <v>10</v>
      </c>
      <c r="AE11" s="5"/>
      <c r="AF11" s="2">
        <v>10</v>
      </c>
      <c r="AG11" s="2">
        <v>10</v>
      </c>
      <c r="AH11" s="8">
        <v>0</v>
      </c>
      <c r="AI11" s="2">
        <v>10</v>
      </c>
      <c r="AJ11" s="2">
        <v>10</v>
      </c>
      <c r="AK11" s="2">
        <v>10</v>
      </c>
      <c r="AL11" s="5"/>
      <c r="AM11" s="2">
        <v>10</v>
      </c>
      <c r="AN11" s="2">
        <v>10</v>
      </c>
      <c r="AO11" s="20">
        <f t="shared" si="0"/>
        <v>260</v>
      </c>
      <c r="AP11" s="21">
        <v>2</v>
      </c>
      <c r="AQ11" s="22">
        <f t="shared" si="1"/>
        <v>60</v>
      </c>
      <c r="AR11" s="1" t="s">
        <v>93</v>
      </c>
      <c r="AS11" s="2"/>
      <c r="AT11" s="29">
        <f t="shared" si="2"/>
        <v>4880</v>
      </c>
    </row>
    <row r="12" spans="1:46" ht="24" customHeight="1" x14ac:dyDescent="0.35">
      <c r="A12" s="17">
        <v>9</v>
      </c>
      <c r="B12" s="17">
        <v>2525961462</v>
      </c>
      <c r="C12" s="18">
        <v>536843762</v>
      </c>
      <c r="D12" s="26" t="s">
        <v>18</v>
      </c>
      <c r="E12" s="19" t="s">
        <v>41</v>
      </c>
      <c r="F12" s="19" t="s">
        <v>10</v>
      </c>
      <c r="G12" s="33">
        <v>19</v>
      </c>
      <c r="H12" s="17">
        <v>10</v>
      </c>
      <c r="I12" s="17">
        <v>10</v>
      </c>
      <c r="J12" s="23"/>
      <c r="K12" s="2">
        <v>10</v>
      </c>
      <c r="L12" s="2">
        <v>10</v>
      </c>
      <c r="M12" s="2">
        <v>10</v>
      </c>
      <c r="N12" s="2">
        <v>10</v>
      </c>
      <c r="O12" s="2">
        <v>10</v>
      </c>
      <c r="P12" s="2">
        <v>10</v>
      </c>
      <c r="Q12" s="5"/>
      <c r="R12" s="2">
        <v>10</v>
      </c>
      <c r="S12" s="2">
        <v>10</v>
      </c>
      <c r="T12" s="2">
        <v>10</v>
      </c>
      <c r="U12" s="2">
        <v>10</v>
      </c>
      <c r="V12" s="2">
        <v>10</v>
      </c>
      <c r="W12" s="2">
        <v>10</v>
      </c>
      <c r="X12" s="5"/>
      <c r="Y12" s="2">
        <v>10</v>
      </c>
      <c r="Z12" s="2">
        <v>10</v>
      </c>
      <c r="AA12" s="2">
        <v>10</v>
      </c>
      <c r="AB12" s="2">
        <v>10</v>
      </c>
      <c r="AC12" s="2">
        <v>10</v>
      </c>
      <c r="AD12" s="2">
        <v>10</v>
      </c>
      <c r="AE12" s="5"/>
      <c r="AF12" s="2">
        <v>10</v>
      </c>
      <c r="AG12" s="2">
        <v>0</v>
      </c>
      <c r="AH12" s="8">
        <v>0</v>
      </c>
      <c r="AI12" s="8">
        <v>0</v>
      </c>
      <c r="AJ12" s="2">
        <v>10</v>
      </c>
      <c r="AK12" s="2">
        <v>10</v>
      </c>
      <c r="AL12" s="5"/>
      <c r="AM12" s="8">
        <v>0</v>
      </c>
      <c r="AN12" s="2">
        <v>10</v>
      </c>
      <c r="AO12" s="20">
        <f>SUM(H12:AN12)</f>
        <v>240</v>
      </c>
      <c r="AP12" s="21">
        <v>3</v>
      </c>
      <c r="AQ12" s="22">
        <f t="shared" si="1"/>
        <v>90</v>
      </c>
      <c r="AR12" s="1" t="s">
        <v>93</v>
      </c>
      <c r="AS12" s="2"/>
      <c r="AT12" s="29">
        <f t="shared" si="2"/>
        <v>4470</v>
      </c>
    </row>
    <row r="13" spans="1:46" ht="24" customHeight="1" x14ac:dyDescent="0.35">
      <c r="A13" s="17">
        <v>10</v>
      </c>
      <c r="B13" s="17">
        <v>2500977513</v>
      </c>
      <c r="C13" s="18">
        <v>507917686</v>
      </c>
      <c r="D13" s="26" t="s">
        <v>19</v>
      </c>
      <c r="E13" s="19" t="s">
        <v>41</v>
      </c>
      <c r="F13" s="19" t="s">
        <v>10</v>
      </c>
      <c r="G13" s="33">
        <v>19</v>
      </c>
      <c r="H13" s="17">
        <v>10</v>
      </c>
      <c r="I13" s="17">
        <v>10</v>
      </c>
      <c r="J13" s="23"/>
      <c r="K13" s="2">
        <v>10</v>
      </c>
      <c r="L13" s="2">
        <v>10</v>
      </c>
      <c r="M13" s="2">
        <v>10</v>
      </c>
      <c r="N13" s="2">
        <v>10</v>
      </c>
      <c r="O13" s="2">
        <v>10</v>
      </c>
      <c r="P13" s="2">
        <v>10</v>
      </c>
      <c r="Q13" s="5"/>
      <c r="R13" s="2">
        <v>10</v>
      </c>
      <c r="S13" s="2">
        <v>10</v>
      </c>
      <c r="T13" s="2">
        <v>10</v>
      </c>
      <c r="U13" s="2">
        <v>10</v>
      </c>
      <c r="V13" s="2">
        <v>10</v>
      </c>
      <c r="W13" s="2">
        <v>10</v>
      </c>
      <c r="X13" s="5"/>
      <c r="Y13" s="2">
        <v>10</v>
      </c>
      <c r="Z13" s="2">
        <v>10</v>
      </c>
      <c r="AA13" s="2">
        <v>10</v>
      </c>
      <c r="AB13" s="2">
        <v>10</v>
      </c>
      <c r="AC13" s="2">
        <v>10</v>
      </c>
      <c r="AD13" s="2">
        <v>10</v>
      </c>
      <c r="AE13" s="5"/>
      <c r="AF13" s="2">
        <v>10</v>
      </c>
      <c r="AG13" s="2">
        <v>10</v>
      </c>
      <c r="AH13" s="8">
        <v>0</v>
      </c>
      <c r="AI13" s="2">
        <v>10</v>
      </c>
      <c r="AJ13" s="2">
        <v>10</v>
      </c>
      <c r="AK13" s="2">
        <v>10</v>
      </c>
      <c r="AL13" s="5"/>
      <c r="AM13" s="2">
        <v>10</v>
      </c>
      <c r="AN13" s="2">
        <v>10</v>
      </c>
      <c r="AO13" s="20">
        <f t="shared" si="0"/>
        <v>270</v>
      </c>
      <c r="AP13" s="21">
        <v>1</v>
      </c>
      <c r="AQ13" s="22">
        <f t="shared" si="1"/>
        <v>30</v>
      </c>
      <c r="AR13" s="1" t="s">
        <v>93</v>
      </c>
      <c r="AS13" s="2"/>
      <c r="AT13" s="29">
        <f t="shared" si="2"/>
        <v>5100</v>
      </c>
    </row>
    <row r="14" spans="1:46" ht="24" customHeight="1" x14ac:dyDescent="0.35">
      <c r="A14" s="17">
        <v>11</v>
      </c>
      <c r="B14" s="17">
        <v>2396757937</v>
      </c>
      <c r="C14" s="18">
        <v>530188764</v>
      </c>
      <c r="D14" s="26" t="s">
        <v>20</v>
      </c>
      <c r="E14" s="19" t="s">
        <v>41</v>
      </c>
      <c r="F14" s="19" t="s">
        <v>10</v>
      </c>
      <c r="G14" s="33">
        <v>19</v>
      </c>
      <c r="H14" s="17">
        <v>10</v>
      </c>
      <c r="I14" s="17">
        <v>10</v>
      </c>
      <c r="J14" s="23"/>
      <c r="K14" s="2">
        <v>10</v>
      </c>
      <c r="L14" s="2">
        <v>10</v>
      </c>
      <c r="M14" s="2">
        <v>10</v>
      </c>
      <c r="N14" s="2">
        <v>10</v>
      </c>
      <c r="O14" s="2">
        <v>10</v>
      </c>
      <c r="P14" s="8">
        <v>0</v>
      </c>
      <c r="Q14" s="5"/>
      <c r="R14" s="8">
        <v>0</v>
      </c>
      <c r="S14" s="2">
        <v>10</v>
      </c>
      <c r="T14" s="2">
        <v>10</v>
      </c>
      <c r="U14" s="2">
        <v>10</v>
      </c>
      <c r="V14" s="2">
        <v>10</v>
      </c>
      <c r="W14" s="2">
        <v>10</v>
      </c>
      <c r="X14" s="5"/>
      <c r="Y14" s="8">
        <v>0</v>
      </c>
      <c r="Z14" s="8">
        <v>0</v>
      </c>
      <c r="AA14" s="2">
        <v>10</v>
      </c>
      <c r="AB14" s="2">
        <v>10</v>
      </c>
      <c r="AC14" s="2">
        <v>10</v>
      </c>
      <c r="AD14" s="2">
        <v>10</v>
      </c>
      <c r="AE14" s="5"/>
      <c r="AF14" s="8">
        <v>0</v>
      </c>
      <c r="AG14" s="2">
        <v>10</v>
      </c>
      <c r="AH14" s="8">
        <v>0</v>
      </c>
      <c r="AI14" s="2">
        <v>10</v>
      </c>
      <c r="AJ14" s="2">
        <v>10</v>
      </c>
      <c r="AK14" s="2">
        <v>10</v>
      </c>
      <c r="AL14" s="5"/>
      <c r="AM14" s="8">
        <v>0</v>
      </c>
      <c r="AN14" s="2">
        <v>10</v>
      </c>
      <c r="AO14" s="20">
        <f t="shared" si="0"/>
        <v>210</v>
      </c>
      <c r="AP14" s="21">
        <v>7</v>
      </c>
      <c r="AQ14" s="22">
        <f t="shared" si="1"/>
        <v>210</v>
      </c>
      <c r="AR14" s="1" t="s">
        <v>93</v>
      </c>
      <c r="AS14" s="2"/>
      <c r="AT14" s="29">
        <f t="shared" si="2"/>
        <v>3780</v>
      </c>
    </row>
    <row r="15" spans="1:46" ht="24" customHeight="1" x14ac:dyDescent="0.35">
      <c r="A15" s="17">
        <v>12</v>
      </c>
      <c r="B15" s="17">
        <v>2504414625</v>
      </c>
      <c r="C15" s="18">
        <v>539598043</v>
      </c>
      <c r="D15" s="26" t="s">
        <v>21</v>
      </c>
      <c r="E15" s="19" t="s">
        <v>41</v>
      </c>
      <c r="F15" s="19" t="s">
        <v>10</v>
      </c>
      <c r="G15" s="33">
        <v>19</v>
      </c>
      <c r="H15" s="17">
        <v>10</v>
      </c>
      <c r="I15" s="17">
        <v>10</v>
      </c>
      <c r="J15" s="23"/>
      <c r="K15" s="2">
        <v>10</v>
      </c>
      <c r="L15" s="2">
        <v>10</v>
      </c>
      <c r="M15" s="2">
        <v>10</v>
      </c>
      <c r="N15" s="2">
        <v>10</v>
      </c>
      <c r="O15" s="2">
        <v>10</v>
      </c>
      <c r="P15" s="2">
        <v>10</v>
      </c>
      <c r="Q15" s="5"/>
      <c r="R15" s="8">
        <v>0</v>
      </c>
      <c r="S15" s="2">
        <v>10</v>
      </c>
      <c r="T15" s="2">
        <v>10</v>
      </c>
      <c r="U15" s="2">
        <v>10</v>
      </c>
      <c r="V15" s="2">
        <v>10</v>
      </c>
      <c r="W15" s="2">
        <v>10</v>
      </c>
      <c r="X15" s="5"/>
      <c r="Y15" s="2">
        <v>10</v>
      </c>
      <c r="Z15" s="8">
        <v>0</v>
      </c>
      <c r="AA15" s="2">
        <v>10</v>
      </c>
      <c r="AB15" s="2">
        <v>10</v>
      </c>
      <c r="AC15" s="2">
        <v>10</v>
      </c>
      <c r="AD15" s="2">
        <v>10</v>
      </c>
      <c r="AE15" s="5"/>
      <c r="AF15" s="8">
        <v>0</v>
      </c>
      <c r="AG15" s="2">
        <v>10</v>
      </c>
      <c r="AH15" s="8">
        <v>0</v>
      </c>
      <c r="AI15" s="2">
        <v>10</v>
      </c>
      <c r="AJ15" s="2">
        <v>10</v>
      </c>
      <c r="AK15" s="2">
        <v>10</v>
      </c>
      <c r="AL15" s="5"/>
      <c r="AM15" s="8">
        <v>0</v>
      </c>
      <c r="AN15" s="2">
        <v>10</v>
      </c>
      <c r="AO15" s="20">
        <f t="shared" si="0"/>
        <v>230</v>
      </c>
      <c r="AP15" s="21">
        <v>5</v>
      </c>
      <c r="AQ15" s="22">
        <f t="shared" si="1"/>
        <v>150</v>
      </c>
      <c r="AR15" s="1" t="s">
        <v>93</v>
      </c>
      <c r="AS15" s="2"/>
      <c r="AT15" s="29">
        <f t="shared" si="2"/>
        <v>4220</v>
      </c>
    </row>
    <row r="16" spans="1:46" ht="24" customHeight="1" x14ac:dyDescent="0.35">
      <c r="A16" s="17">
        <v>13</v>
      </c>
      <c r="B16" s="17">
        <v>2526139098</v>
      </c>
      <c r="C16" s="18">
        <v>538934330</v>
      </c>
      <c r="D16" s="26" t="s">
        <v>22</v>
      </c>
      <c r="E16" s="19" t="s">
        <v>41</v>
      </c>
      <c r="F16" s="19" t="s">
        <v>10</v>
      </c>
      <c r="G16" s="33">
        <v>19</v>
      </c>
      <c r="H16" s="17">
        <v>10</v>
      </c>
      <c r="I16" s="17">
        <v>10</v>
      </c>
      <c r="J16" s="23" t="s">
        <v>71</v>
      </c>
      <c r="K16" s="2">
        <v>10</v>
      </c>
      <c r="L16" s="2">
        <v>10</v>
      </c>
      <c r="M16" s="2">
        <v>10</v>
      </c>
      <c r="N16" s="2">
        <v>10</v>
      </c>
      <c r="O16" s="2">
        <v>10</v>
      </c>
      <c r="P16" s="8">
        <v>0</v>
      </c>
      <c r="Q16" s="23" t="s">
        <v>71</v>
      </c>
      <c r="R16" s="8">
        <v>0</v>
      </c>
      <c r="S16" s="2">
        <v>10</v>
      </c>
      <c r="T16" s="2">
        <v>10</v>
      </c>
      <c r="U16" s="2">
        <v>10</v>
      </c>
      <c r="V16" s="2">
        <v>10</v>
      </c>
      <c r="W16" s="2">
        <v>10</v>
      </c>
      <c r="X16" s="23" t="s">
        <v>71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23" t="s">
        <v>71</v>
      </c>
      <c r="AF16" s="8">
        <v>0</v>
      </c>
      <c r="AG16" s="2">
        <v>10</v>
      </c>
      <c r="AH16" s="8">
        <v>0</v>
      </c>
      <c r="AI16" s="2">
        <v>10</v>
      </c>
      <c r="AJ16" s="2">
        <v>10</v>
      </c>
      <c r="AK16" s="8">
        <v>0</v>
      </c>
      <c r="AL16" s="23" t="s">
        <v>71</v>
      </c>
      <c r="AM16" s="8">
        <v>0</v>
      </c>
      <c r="AN16" s="2">
        <v>10</v>
      </c>
      <c r="AO16" s="20">
        <f t="shared" si="0"/>
        <v>160</v>
      </c>
      <c r="AP16" s="21">
        <v>12</v>
      </c>
      <c r="AQ16" s="22">
        <f t="shared" si="1"/>
        <v>360</v>
      </c>
      <c r="AR16" s="1" t="s">
        <v>93</v>
      </c>
      <c r="AS16" s="2"/>
      <c r="AT16" s="29">
        <f t="shared" si="2"/>
        <v>2680</v>
      </c>
    </row>
    <row r="17" spans="1:46" ht="24" customHeight="1" x14ac:dyDescent="0.35">
      <c r="A17" s="17">
        <v>14</v>
      </c>
      <c r="B17" s="17">
        <v>2506324280</v>
      </c>
      <c r="C17" s="18">
        <v>545230671</v>
      </c>
      <c r="D17" s="26" t="s">
        <v>23</v>
      </c>
      <c r="E17" s="19" t="s">
        <v>41</v>
      </c>
      <c r="F17" s="19" t="s">
        <v>10</v>
      </c>
      <c r="G17" s="33">
        <v>19</v>
      </c>
      <c r="H17" s="17">
        <v>10</v>
      </c>
      <c r="I17" s="17">
        <v>10</v>
      </c>
      <c r="J17" s="23"/>
      <c r="K17" s="2">
        <v>10</v>
      </c>
      <c r="L17" s="2">
        <v>10</v>
      </c>
      <c r="M17" s="8">
        <v>0</v>
      </c>
      <c r="N17" s="2">
        <v>10</v>
      </c>
      <c r="O17" s="8">
        <v>0</v>
      </c>
      <c r="P17" s="2">
        <v>10</v>
      </c>
      <c r="Q17" s="5"/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5"/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5"/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5"/>
      <c r="AM17" s="24">
        <v>0</v>
      </c>
      <c r="AN17" s="24">
        <v>0</v>
      </c>
      <c r="AO17" s="20">
        <f t="shared" si="0"/>
        <v>60</v>
      </c>
      <c r="AP17" s="21">
        <v>22</v>
      </c>
      <c r="AQ17" s="22">
        <f t="shared" si="1"/>
        <v>660</v>
      </c>
      <c r="AR17" s="1" t="s">
        <v>93</v>
      </c>
      <c r="AS17" s="2"/>
      <c r="AT17" s="29">
        <f t="shared" si="2"/>
        <v>480</v>
      </c>
    </row>
    <row r="18" spans="1:46" ht="24" customHeight="1" x14ac:dyDescent="0.35">
      <c r="A18" s="17">
        <v>15</v>
      </c>
      <c r="B18" s="17">
        <v>2499596977</v>
      </c>
      <c r="C18" s="18">
        <v>540861334</v>
      </c>
      <c r="D18" s="26" t="s">
        <v>24</v>
      </c>
      <c r="E18" s="19" t="s">
        <v>41</v>
      </c>
      <c r="F18" s="19" t="s">
        <v>10</v>
      </c>
      <c r="G18" s="33">
        <v>19</v>
      </c>
      <c r="H18" s="17">
        <v>10</v>
      </c>
      <c r="I18" s="17">
        <v>10</v>
      </c>
      <c r="J18" s="23"/>
      <c r="K18" s="2">
        <v>10</v>
      </c>
      <c r="L18" s="2">
        <v>10</v>
      </c>
      <c r="M18" s="8">
        <v>0</v>
      </c>
      <c r="N18" s="2">
        <v>10</v>
      </c>
      <c r="O18" s="2">
        <v>10</v>
      </c>
      <c r="P18" s="2">
        <v>10</v>
      </c>
      <c r="Q18" s="5"/>
      <c r="R18" s="2">
        <v>10</v>
      </c>
      <c r="S18" s="8">
        <v>0</v>
      </c>
      <c r="T18" s="8">
        <v>0</v>
      </c>
      <c r="U18" s="8">
        <v>0</v>
      </c>
      <c r="V18" s="2">
        <v>10</v>
      </c>
      <c r="W18" s="2">
        <v>10</v>
      </c>
      <c r="X18" s="5"/>
      <c r="Y18" s="2">
        <v>10</v>
      </c>
      <c r="Z18" s="2">
        <v>10</v>
      </c>
      <c r="AA18" s="2">
        <v>10</v>
      </c>
      <c r="AB18" s="2">
        <v>10</v>
      </c>
      <c r="AC18" s="2">
        <v>10</v>
      </c>
      <c r="AD18" s="2">
        <v>10</v>
      </c>
      <c r="AE18" s="5"/>
      <c r="AF18" s="2">
        <v>10</v>
      </c>
      <c r="AG18" s="2">
        <v>0</v>
      </c>
      <c r="AH18" s="8">
        <v>0</v>
      </c>
      <c r="AI18" s="2">
        <v>10</v>
      </c>
      <c r="AJ18" s="2">
        <v>10</v>
      </c>
      <c r="AK18" s="2">
        <v>10</v>
      </c>
      <c r="AL18" s="5"/>
      <c r="AM18" s="2">
        <v>10</v>
      </c>
      <c r="AN18" s="2">
        <v>10</v>
      </c>
      <c r="AO18" s="20">
        <f t="shared" si="0"/>
        <v>220</v>
      </c>
      <c r="AP18" s="21">
        <v>5</v>
      </c>
      <c r="AQ18" s="22">
        <f t="shared" si="1"/>
        <v>150</v>
      </c>
      <c r="AR18" s="1" t="s">
        <v>93</v>
      </c>
      <c r="AS18" s="2"/>
      <c r="AT18" s="29">
        <f t="shared" si="2"/>
        <v>4030</v>
      </c>
    </row>
    <row r="19" spans="1:46" ht="24" customHeight="1" x14ac:dyDescent="0.35">
      <c r="A19" s="17">
        <v>16</v>
      </c>
      <c r="B19" s="17">
        <v>2588969063</v>
      </c>
      <c r="C19" s="18">
        <v>573885688</v>
      </c>
      <c r="D19" s="26" t="s">
        <v>25</v>
      </c>
      <c r="E19" s="19" t="s">
        <v>41</v>
      </c>
      <c r="F19" s="19" t="s">
        <v>10</v>
      </c>
      <c r="G19" s="33">
        <v>19</v>
      </c>
      <c r="H19" s="17">
        <v>10</v>
      </c>
      <c r="I19" s="17">
        <v>10</v>
      </c>
      <c r="J19" s="23"/>
      <c r="K19" s="2">
        <v>10</v>
      </c>
      <c r="L19" s="2">
        <v>10</v>
      </c>
      <c r="M19" s="2">
        <v>10</v>
      </c>
      <c r="N19" s="2">
        <v>10</v>
      </c>
      <c r="O19" s="2">
        <v>10</v>
      </c>
      <c r="P19" s="2">
        <v>10</v>
      </c>
      <c r="Q19" s="5"/>
      <c r="R19" s="8">
        <v>0</v>
      </c>
      <c r="S19" s="2">
        <v>10</v>
      </c>
      <c r="T19" s="2">
        <v>10</v>
      </c>
      <c r="U19" s="2">
        <v>10</v>
      </c>
      <c r="V19" s="2">
        <v>10</v>
      </c>
      <c r="W19" s="2">
        <v>10</v>
      </c>
      <c r="X19" s="5"/>
      <c r="Y19" s="2">
        <v>10</v>
      </c>
      <c r="Z19" s="2">
        <v>10</v>
      </c>
      <c r="AA19" s="2">
        <v>10</v>
      </c>
      <c r="AB19" s="2">
        <v>10</v>
      </c>
      <c r="AC19" s="2">
        <v>10</v>
      </c>
      <c r="AD19" s="2">
        <v>10</v>
      </c>
      <c r="AE19" s="5"/>
      <c r="AF19" s="8">
        <v>0</v>
      </c>
      <c r="AG19" s="2">
        <v>10</v>
      </c>
      <c r="AH19" s="8">
        <v>0</v>
      </c>
      <c r="AI19" s="2">
        <v>10</v>
      </c>
      <c r="AJ19" s="2">
        <v>10</v>
      </c>
      <c r="AK19" s="2">
        <v>10</v>
      </c>
      <c r="AL19" s="5"/>
      <c r="AM19" s="8">
        <v>0</v>
      </c>
      <c r="AN19" s="2">
        <v>10</v>
      </c>
      <c r="AO19" s="20">
        <f t="shared" si="0"/>
        <v>240</v>
      </c>
      <c r="AP19" s="21">
        <v>4</v>
      </c>
      <c r="AQ19" s="22">
        <f t="shared" si="1"/>
        <v>120</v>
      </c>
      <c r="AR19" s="1" t="s">
        <v>93</v>
      </c>
      <c r="AS19" s="2"/>
      <c r="AT19" s="29">
        <f t="shared" si="2"/>
        <v>4440</v>
      </c>
    </row>
    <row r="20" spans="1:46" ht="24" customHeight="1" x14ac:dyDescent="0.35">
      <c r="A20" s="17">
        <v>17</v>
      </c>
      <c r="B20" s="17">
        <v>2531566731</v>
      </c>
      <c r="C20" s="18">
        <v>553562408</v>
      </c>
      <c r="D20" s="26" t="s">
        <v>26</v>
      </c>
      <c r="E20" s="19" t="s">
        <v>41</v>
      </c>
      <c r="F20" s="19" t="s">
        <v>10</v>
      </c>
      <c r="G20" s="33">
        <v>19</v>
      </c>
      <c r="H20" s="17">
        <v>10</v>
      </c>
      <c r="I20" s="17">
        <v>10</v>
      </c>
      <c r="J20" s="23"/>
      <c r="K20" s="8">
        <v>0</v>
      </c>
      <c r="L20" s="2">
        <v>10</v>
      </c>
      <c r="M20" s="2">
        <v>10</v>
      </c>
      <c r="N20" s="2">
        <v>10</v>
      </c>
      <c r="O20" s="2">
        <v>10</v>
      </c>
      <c r="P20" s="2">
        <v>10</v>
      </c>
      <c r="Q20" s="5"/>
      <c r="R20" s="2">
        <v>10</v>
      </c>
      <c r="S20" s="8">
        <v>0</v>
      </c>
      <c r="T20" s="8">
        <v>0</v>
      </c>
      <c r="U20" s="2">
        <v>10</v>
      </c>
      <c r="V20" s="2">
        <v>10</v>
      </c>
      <c r="W20" s="2">
        <v>10</v>
      </c>
      <c r="X20" s="5"/>
      <c r="Y20" s="2">
        <v>0</v>
      </c>
      <c r="Z20" s="2">
        <v>10</v>
      </c>
      <c r="AA20" s="2">
        <v>10</v>
      </c>
      <c r="AB20" s="2">
        <v>10</v>
      </c>
      <c r="AC20" s="2">
        <v>10</v>
      </c>
      <c r="AD20" s="2">
        <v>10</v>
      </c>
      <c r="AE20" s="5"/>
      <c r="AF20" s="8">
        <v>0</v>
      </c>
      <c r="AG20" s="2">
        <v>10</v>
      </c>
      <c r="AH20" s="8">
        <v>0</v>
      </c>
      <c r="AI20" s="2">
        <v>10</v>
      </c>
      <c r="AJ20" s="2">
        <v>10</v>
      </c>
      <c r="AK20" s="2">
        <v>10</v>
      </c>
      <c r="AL20" s="5"/>
      <c r="AM20" s="8">
        <v>0</v>
      </c>
      <c r="AN20" s="8">
        <v>0</v>
      </c>
      <c r="AO20" s="20">
        <f>SUM(H20:AN20)</f>
        <v>200</v>
      </c>
      <c r="AP20" s="21">
        <v>7</v>
      </c>
      <c r="AQ20" s="22">
        <f t="shared" si="1"/>
        <v>210</v>
      </c>
      <c r="AR20" s="1" t="s">
        <v>93</v>
      </c>
      <c r="AS20" s="2"/>
      <c r="AT20" s="29">
        <f t="shared" si="2"/>
        <v>3590</v>
      </c>
    </row>
    <row r="21" spans="1:46" ht="24" customHeight="1" x14ac:dyDescent="0.35">
      <c r="A21" s="17">
        <v>18</v>
      </c>
      <c r="B21" s="17">
        <v>2596006599</v>
      </c>
      <c r="C21" s="18">
        <v>558705348</v>
      </c>
      <c r="D21" s="26" t="s">
        <v>28</v>
      </c>
      <c r="E21" s="19" t="s">
        <v>41</v>
      </c>
      <c r="F21" s="19" t="s">
        <v>10</v>
      </c>
      <c r="G21" s="33">
        <v>19</v>
      </c>
      <c r="H21" s="17"/>
      <c r="I21" s="17"/>
      <c r="J21" s="23"/>
      <c r="K21" s="2"/>
      <c r="L21" s="2"/>
      <c r="M21" s="2"/>
      <c r="N21" s="2"/>
      <c r="O21" s="2"/>
      <c r="P21" s="2"/>
      <c r="Q21" s="5"/>
      <c r="R21" s="2"/>
      <c r="S21" s="2"/>
      <c r="T21" s="2"/>
      <c r="U21" s="2"/>
      <c r="V21" s="2"/>
      <c r="W21" s="2">
        <v>10</v>
      </c>
      <c r="X21" s="5"/>
      <c r="Y21" s="2">
        <v>10</v>
      </c>
      <c r="Z21" s="2">
        <v>10</v>
      </c>
      <c r="AA21" s="2">
        <v>0</v>
      </c>
      <c r="AB21" s="2">
        <v>10</v>
      </c>
      <c r="AC21" s="2">
        <v>10</v>
      </c>
      <c r="AD21" s="2">
        <v>10</v>
      </c>
      <c r="AE21" s="5"/>
      <c r="AF21" s="8">
        <v>0</v>
      </c>
      <c r="AG21" s="2">
        <v>10</v>
      </c>
      <c r="AH21" s="2">
        <v>10</v>
      </c>
      <c r="AI21" s="2">
        <v>10</v>
      </c>
      <c r="AJ21" s="2">
        <v>10</v>
      </c>
      <c r="AK21" s="2">
        <v>10</v>
      </c>
      <c r="AL21" s="5"/>
      <c r="AM21" s="2">
        <v>10</v>
      </c>
      <c r="AN21" s="2">
        <v>10</v>
      </c>
      <c r="AO21" s="20">
        <f t="shared" si="0"/>
        <v>130</v>
      </c>
      <c r="AP21" s="21">
        <v>1</v>
      </c>
      <c r="AQ21" s="22">
        <f t="shared" si="1"/>
        <v>30</v>
      </c>
      <c r="AR21" s="1" t="s">
        <v>93</v>
      </c>
      <c r="AS21" s="2"/>
      <c r="AT21" s="29">
        <f t="shared" si="2"/>
        <v>2440</v>
      </c>
    </row>
    <row r="22" spans="1:46" ht="24" customHeight="1" x14ac:dyDescent="0.35">
      <c r="A22" s="17">
        <v>19</v>
      </c>
      <c r="B22" s="17">
        <v>2169490030</v>
      </c>
      <c r="C22" s="18">
        <v>534740787</v>
      </c>
      <c r="D22" s="26" t="s">
        <v>29</v>
      </c>
      <c r="E22" s="19" t="s">
        <v>41</v>
      </c>
      <c r="F22" s="19" t="s">
        <v>10</v>
      </c>
      <c r="G22" s="33">
        <v>19</v>
      </c>
      <c r="H22" s="17"/>
      <c r="I22" s="17"/>
      <c r="J22" s="23"/>
      <c r="K22" s="2"/>
      <c r="L22" s="2"/>
      <c r="M22" s="2"/>
      <c r="N22" s="2"/>
      <c r="O22" s="2"/>
      <c r="P22" s="2"/>
      <c r="Q22" s="5"/>
      <c r="R22" s="2"/>
      <c r="S22" s="2"/>
      <c r="T22" s="2"/>
      <c r="U22" s="2"/>
      <c r="V22" s="2"/>
      <c r="W22" s="2">
        <v>10</v>
      </c>
      <c r="X22" s="5"/>
      <c r="Y22" s="2">
        <v>10</v>
      </c>
      <c r="Z22" s="2">
        <v>10</v>
      </c>
      <c r="AA22" s="2">
        <v>10</v>
      </c>
      <c r="AB22" s="2">
        <v>10</v>
      </c>
      <c r="AC22" s="2">
        <v>10</v>
      </c>
      <c r="AD22" s="2">
        <v>10</v>
      </c>
      <c r="AE22" s="5"/>
      <c r="AF22" s="8">
        <v>0</v>
      </c>
      <c r="AG22" s="2">
        <v>10</v>
      </c>
      <c r="AH22" s="2">
        <v>10</v>
      </c>
      <c r="AI22" s="2">
        <v>10</v>
      </c>
      <c r="AJ22" s="2">
        <v>10</v>
      </c>
      <c r="AK22" s="2">
        <v>10</v>
      </c>
      <c r="AL22" s="5"/>
      <c r="AM22" s="2">
        <v>10</v>
      </c>
      <c r="AN22" s="2">
        <v>10</v>
      </c>
      <c r="AO22" s="20">
        <f t="shared" si="0"/>
        <v>140</v>
      </c>
      <c r="AP22" s="21">
        <v>1</v>
      </c>
      <c r="AQ22" s="22">
        <f t="shared" si="1"/>
        <v>30</v>
      </c>
      <c r="AR22" s="1" t="s">
        <v>93</v>
      </c>
      <c r="AS22" s="2"/>
      <c r="AT22" s="29">
        <f t="shared" si="2"/>
        <v>2630</v>
      </c>
    </row>
    <row r="23" spans="1:46" ht="24" customHeight="1" x14ac:dyDescent="0.35">
      <c r="A23" s="17">
        <v>20</v>
      </c>
      <c r="B23" s="17">
        <v>2570432365</v>
      </c>
      <c r="C23" s="18">
        <v>534356929</v>
      </c>
      <c r="D23" s="26" t="s">
        <v>30</v>
      </c>
      <c r="E23" s="19" t="s">
        <v>41</v>
      </c>
      <c r="F23" s="19" t="s">
        <v>10</v>
      </c>
      <c r="G23" s="33">
        <v>19</v>
      </c>
      <c r="H23" s="17"/>
      <c r="I23" s="17"/>
      <c r="J23" s="23"/>
      <c r="K23" s="2"/>
      <c r="L23" s="2"/>
      <c r="M23" s="2"/>
      <c r="N23" s="2"/>
      <c r="O23" s="2"/>
      <c r="P23" s="2"/>
      <c r="Q23" s="5"/>
      <c r="R23" s="2"/>
      <c r="S23" s="2"/>
      <c r="T23" s="2"/>
      <c r="U23" s="2"/>
      <c r="V23" s="2"/>
      <c r="W23" s="2">
        <v>10</v>
      </c>
      <c r="X23" s="5"/>
      <c r="Y23" s="2">
        <v>10</v>
      </c>
      <c r="Z23" s="2">
        <v>10</v>
      </c>
      <c r="AA23" s="2">
        <v>10</v>
      </c>
      <c r="AB23" s="2">
        <v>10</v>
      </c>
      <c r="AC23" s="2">
        <v>10</v>
      </c>
      <c r="AD23" s="2">
        <v>10</v>
      </c>
      <c r="AE23" s="5"/>
      <c r="AF23" s="8">
        <v>0</v>
      </c>
      <c r="AG23" s="2">
        <v>10</v>
      </c>
      <c r="AH23" s="2">
        <v>10</v>
      </c>
      <c r="AI23" s="2">
        <v>10</v>
      </c>
      <c r="AJ23" s="2">
        <v>10</v>
      </c>
      <c r="AK23" s="2">
        <v>10</v>
      </c>
      <c r="AL23" s="5"/>
      <c r="AM23" s="2">
        <v>10</v>
      </c>
      <c r="AN23" s="2">
        <v>10</v>
      </c>
      <c r="AO23" s="20">
        <f t="shared" si="0"/>
        <v>140</v>
      </c>
      <c r="AP23" s="21">
        <v>1</v>
      </c>
      <c r="AQ23" s="22">
        <f t="shared" si="1"/>
        <v>30</v>
      </c>
      <c r="AR23" s="1" t="s">
        <v>93</v>
      </c>
      <c r="AS23" s="2"/>
      <c r="AT23" s="29">
        <f t="shared" si="2"/>
        <v>2630</v>
      </c>
    </row>
    <row r="24" spans="1:46" ht="24" customHeight="1" x14ac:dyDescent="0.35">
      <c r="A24" s="17">
        <v>22</v>
      </c>
      <c r="B24" s="17">
        <v>2594681823</v>
      </c>
      <c r="C24" s="18">
        <v>556322097</v>
      </c>
      <c r="D24" s="26" t="s">
        <v>32</v>
      </c>
      <c r="E24" s="19" t="s">
        <v>41</v>
      </c>
      <c r="F24" s="19" t="s">
        <v>10</v>
      </c>
      <c r="G24" s="34">
        <v>19</v>
      </c>
      <c r="H24" s="17"/>
      <c r="I24" s="17"/>
      <c r="J24" s="23"/>
      <c r="K24" s="2"/>
      <c r="L24" s="2"/>
      <c r="M24" s="2"/>
      <c r="N24" s="2"/>
      <c r="O24" s="2"/>
      <c r="P24" s="2"/>
      <c r="Q24" s="5"/>
      <c r="R24" s="2"/>
      <c r="S24" s="2"/>
      <c r="T24" s="2"/>
      <c r="U24" s="2"/>
      <c r="V24" s="2"/>
      <c r="W24" s="2">
        <v>10</v>
      </c>
      <c r="X24" s="5"/>
      <c r="Y24" s="2">
        <v>10</v>
      </c>
      <c r="Z24" s="2">
        <v>10</v>
      </c>
      <c r="AA24" s="2">
        <v>10</v>
      </c>
      <c r="AB24" s="2">
        <v>10</v>
      </c>
      <c r="AC24" s="2">
        <v>10</v>
      </c>
      <c r="AD24" s="2">
        <v>10</v>
      </c>
      <c r="AE24" s="5"/>
      <c r="AF24" s="8">
        <v>0</v>
      </c>
      <c r="AG24" s="2">
        <v>10</v>
      </c>
      <c r="AH24" s="2">
        <v>10</v>
      </c>
      <c r="AI24" s="2">
        <v>10</v>
      </c>
      <c r="AJ24" s="2">
        <v>10</v>
      </c>
      <c r="AK24" s="2">
        <v>10</v>
      </c>
      <c r="AL24" s="5"/>
      <c r="AM24" s="2">
        <v>10</v>
      </c>
      <c r="AN24" s="2">
        <v>10</v>
      </c>
      <c r="AO24" s="20">
        <f t="shared" si="0"/>
        <v>140</v>
      </c>
      <c r="AP24" s="21">
        <v>1</v>
      </c>
      <c r="AQ24" s="22">
        <f t="shared" si="1"/>
        <v>30</v>
      </c>
      <c r="AR24" s="1" t="s">
        <v>93</v>
      </c>
      <c r="AS24" s="2"/>
      <c r="AT24" s="29">
        <f t="shared" si="2"/>
        <v>2630</v>
      </c>
    </row>
    <row r="25" spans="1:46" ht="24" customHeight="1" x14ac:dyDescent="0.35">
      <c r="A25" s="17">
        <v>23</v>
      </c>
      <c r="B25" s="17">
        <v>2509587297</v>
      </c>
      <c r="C25" s="18">
        <v>564649279</v>
      </c>
      <c r="D25" s="26" t="s">
        <v>33</v>
      </c>
      <c r="E25" s="19" t="s">
        <v>41</v>
      </c>
      <c r="F25" s="19" t="s">
        <v>10</v>
      </c>
      <c r="G25" s="33">
        <v>19</v>
      </c>
      <c r="H25" s="17"/>
      <c r="I25" s="17"/>
      <c r="J25" s="23"/>
      <c r="K25" s="2"/>
      <c r="L25" s="2"/>
      <c r="M25" s="2"/>
      <c r="N25" s="2"/>
      <c r="O25" s="2"/>
      <c r="P25" s="2"/>
      <c r="Q25" s="5"/>
      <c r="R25" s="2"/>
      <c r="S25" s="2"/>
      <c r="T25" s="2"/>
      <c r="U25" s="2"/>
      <c r="V25" s="2"/>
      <c r="W25" s="2"/>
      <c r="X25" s="5"/>
      <c r="Y25" s="2"/>
      <c r="Z25" s="2"/>
      <c r="AA25" s="2"/>
      <c r="AB25" s="2">
        <v>10</v>
      </c>
      <c r="AC25" s="2">
        <v>10</v>
      </c>
      <c r="AD25" s="2">
        <v>10</v>
      </c>
      <c r="AE25" s="5"/>
      <c r="AF25" s="8">
        <v>0</v>
      </c>
      <c r="AG25" s="2">
        <v>10</v>
      </c>
      <c r="AH25" s="2">
        <v>10</v>
      </c>
      <c r="AI25" s="2">
        <v>10</v>
      </c>
      <c r="AJ25" s="2">
        <v>10</v>
      </c>
      <c r="AK25" s="2">
        <v>10</v>
      </c>
      <c r="AL25" s="5"/>
      <c r="AM25" s="8">
        <v>0</v>
      </c>
      <c r="AN25" s="2">
        <v>10</v>
      </c>
      <c r="AO25" s="20">
        <f t="shared" si="0"/>
        <v>90</v>
      </c>
      <c r="AP25" s="21">
        <v>2</v>
      </c>
      <c r="AQ25" s="22">
        <f t="shared" si="1"/>
        <v>60</v>
      </c>
      <c r="AR25" s="1" t="s">
        <v>93</v>
      </c>
      <c r="AS25" s="2"/>
      <c r="AT25" s="29">
        <f t="shared" si="2"/>
        <v>1650</v>
      </c>
    </row>
    <row r="26" spans="1:46" ht="24" customHeight="1" x14ac:dyDescent="0.35">
      <c r="A26" s="17">
        <v>24</v>
      </c>
      <c r="B26" s="17">
        <v>2620603791</v>
      </c>
      <c r="C26" s="18">
        <v>553026447</v>
      </c>
      <c r="D26" s="26" t="s">
        <v>34</v>
      </c>
      <c r="E26" s="19" t="s">
        <v>41</v>
      </c>
      <c r="F26" s="19" t="s">
        <v>10</v>
      </c>
      <c r="G26" s="33">
        <v>19</v>
      </c>
      <c r="H26" s="17"/>
      <c r="I26" s="17"/>
      <c r="J26" s="23"/>
      <c r="K26" s="2"/>
      <c r="L26" s="2"/>
      <c r="M26" s="2"/>
      <c r="N26" s="2"/>
      <c r="O26" s="2"/>
      <c r="P26" s="2"/>
      <c r="Q26" s="5"/>
      <c r="R26" s="2"/>
      <c r="S26" s="2"/>
      <c r="T26" s="2"/>
      <c r="U26" s="2"/>
      <c r="V26" s="2"/>
      <c r="W26" s="2"/>
      <c r="X26" s="5"/>
      <c r="Y26" s="2"/>
      <c r="Z26" s="2"/>
      <c r="AA26" s="2"/>
      <c r="AB26" s="2">
        <v>10</v>
      </c>
      <c r="AC26" s="2">
        <v>10</v>
      </c>
      <c r="AD26" s="2">
        <v>10</v>
      </c>
      <c r="AE26" s="5"/>
      <c r="AF26" s="8">
        <v>0</v>
      </c>
      <c r="AG26" s="2">
        <v>10</v>
      </c>
      <c r="AH26" s="2">
        <v>10</v>
      </c>
      <c r="AI26" s="2">
        <v>10</v>
      </c>
      <c r="AJ26" s="2">
        <v>10</v>
      </c>
      <c r="AK26" s="2">
        <v>10</v>
      </c>
      <c r="AL26" s="5"/>
      <c r="AM26" s="8">
        <v>0</v>
      </c>
      <c r="AN26" s="2">
        <v>10</v>
      </c>
      <c r="AO26" s="20">
        <f t="shared" si="0"/>
        <v>90</v>
      </c>
      <c r="AP26" s="21">
        <v>2</v>
      </c>
      <c r="AQ26" s="22">
        <f t="shared" si="1"/>
        <v>60</v>
      </c>
      <c r="AR26" s="1" t="s">
        <v>93</v>
      </c>
      <c r="AS26" s="2"/>
      <c r="AT26" s="29">
        <f t="shared" si="2"/>
        <v>1650</v>
      </c>
    </row>
    <row r="27" spans="1:46" ht="24" customHeight="1" x14ac:dyDescent="0.35">
      <c r="A27" s="17">
        <v>25</v>
      </c>
      <c r="B27" s="17">
        <v>2620685533</v>
      </c>
      <c r="C27" s="18">
        <v>538186489</v>
      </c>
      <c r="D27" s="26" t="s">
        <v>35</v>
      </c>
      <c r="E27" s="19" t="s">
        <v>41</v>
      </c>
      <c r="F27" s="19" t="s">
        <v>10</v>
      </c>
      <c r="G27" s="33">
        <v>19</v>
      </c>
      <c r="H27" s="17"/>
      <c r="I27" s="17"/>
      <c r="J27" s="23"/>
      <c r="K27" s="2"/>
      <c r="L27" s="2"/>
      <c r="M27" s="2"/>
      <c r="N27" s="2"/>
      <c r="O27" s="2"/>
      <c r="P27" s="2"/>
      <c r="Q27" s="5"/>
      <c r="R27" s="2"/>
      <c r="S27" s="2"/>
      <c r="T27" s="2"/>
      <c r="U27" s="2"/>
      <c r="V27" s="2"/>
      <c r="W27" s="2"/>
      <c r="X27" s="5"/>
      <c r="Y27" s="2"/>
      <c r="Z27" s="2"/>
      <c r="AA27" s="2"/>
      <c r="AB27" s="2">
        <v>10</v>
      </c>
      <c r="AC27" s="2">
        <v>10</v>
      </c>
      <c r="AD27" s="2">
        <v>10</v>
      </c>
      <c r="AE27" s="5"/>
      <c r="AF27" s="8">
        <v>0</v>
      </c>
      <c r="AG27" s="2">
        <v>10</v>
      </c>
      <c r="AH27" s="2">
        <v>10</v>
      </c>
      <c r="AI27" s="2">
        <v>10</v>
      </c>
      <c r="AJ27" s="2">
        <v>10</v>
      </c>
      <c r="AK27" s="2">
        <v>10</v>
      </c>
      <c r="AL27" s="5"/>
      <c r="AM27" s="2">
        <v>10</v>
      </c>
      <c r="AN27" s="2">
        <v>10</v>
      </c>
      <c r="AO27" s="20">
        <f t="shared" si="0"/>
        <v>100</v>
      </c>
      <c r="AP27" s="21">
        <v>1</v>
      </c>
      <c r="AQ27" s="22">
        <f t="shared" si="1"/>
        <v>30</v>
      </c>
      <c r="AR27" s="1" t="s">
        <v>93</v>
      </c>
      <c r="AS27" s="2"/>
      <c r="AT27" s="29">
        <f t="shared" si="2"/>
        <v>1870</v>
      </c>
    </row>
    <row r="28" spans="1:46" ht="24" customHeight="1" x14ac:dyDescent="0.35">
      <c r="A28" s="17">
        <v>26</v>
      </c>
      <c r="B28" s="17">
        <v>2604940318</v>
      </c>
      <c r="C28" s="18">
        <v>552689742</v>
      </c>
      <c r="D28" s="26" t="s">
        <v>36</v>
      </c>
      <c r="E28" s="19" t="s">
        <v>41</v>
      </c>
      <c r="F28" s="19" t="s">
        <v>10</v>
      </c>
      <c r="G28" s="33">
        <v>19</v>
      </c>
      <c r="H28" s="17"/>
      <c r="I28" s="17"/>
      <c r="J28" s="23"/>
      <c r="K28" s="2"/>
      <c r="L28" s="2"/>
      <c r="M28" s="2"/>
      <c r="N28" s="2"/>
      <c r="O28" s="2"/>
      <c r="P28" s="2"/>
      <c r="Q28" s="5"/>
      <c r="R28" s="2"/>
      <c r="S28" s="2"/>
      <c r="T28" s="2"/>
      <c r="U28" s="2"/>
      <c r="V28" s="2"/>
      <c r="W28" s="2"/>
      <c r="X28" s="5"/>
      <c r="Y28" s="2"/>
      <c r="Z28" s="2"/>
      <c r="AA28" s="2"/>
      <c r="AB28" s="2">
        <v>10</v>
      </c>
      <c r="AC28" s="2">
        <v>10</v>
      </c>
      <c r="AD28" s="2">
        <v>10</v>
      </c>
      <c r="AE28" s="5"/>
      <c r="AF28" s="8">
        <v>0</v>
      </c>
      <c r="AG28" s="2">
        <v>10</v>
      </c>
      <c r="AH28" s="2">
        <v>10</v>
      </c>
      <c r="AI28" s="8">
        <v>0</v>
      </c>
      <c r="AJ28" s="2">
        <v>10</v>
      </c>
      <c r="AK28" s="2">
        <v>10</v>
      </c>
      <c r="AL28" s="5"/>
      <c r="AM28" s="8">
        <v>0</v>
      </c>
      <c r="AN28" s="2">
        <v>10</v>
      </c>
      <c r="AO28" s="20">
        <f t="shared" si="0"/>
        <v>80</v>
      </c>
      <c r="AP28" s="21">
        <v>3</v>
      </c>
      <c r="AQ28" s="22">
        <f t="shared" si="1"/>
        <v>90</v>
      </c>
      <c r="AR28" s="1" t="s">
        <v>93</v>
      </c>
      <c r="AS28" s="2"/>
      <c r="AT28" s="29">
        <f t="shared" si="2"/>
        <v>1430</v>
      </c>
    </row>
    <row r="29" spans="1:46" ht="24" customHeight="1" x14ac:dyDescent="0.35">
      <c r="A29" s="17">
        <v>27</v>
      </c>
      <c r="B29" s="17">
        <v>2602457752</v>
      </c>
      <c r="C29" s="18">
        <v>559563029</v>
      </c>
      <c r="D29" s="26" t="s">
        <v>37</v>
      </c>
      <c r="E29" s="19" t="s">
        <v>41</v>
      </c>
      <c r="F29" s="19" t="s">
        <v>10</v>
      </c>
      <c r="G29" s="33">
        <v>19</v>
      </c>
      <c r="H29" s="17"/>
      <c r="I29" s="17"/>
      <c r="J29" s="23"/>
      <c r="K29" s="2"/>
      <c r="L29" s="2"/>
      <c r="M29" s="2"/>
      <c r="N29" s="2"/>
      <c r="O29" s="2"/>
      <c r="P29" s="2"/>
      <c r="Q29" s="5"/>
      <c r="R29" s="2"/>
      <c r="S29" s="2"/>
      <c r="T29" s="2"/>
      <c r="U29" s="2"/>
      <c r="V29" s="2"/>
      <c r="W29" s="2"/>
      <c r="X29" s="5"/>
      <c r="Y29" s="2"/>
      <c r="Z29" s="2"/>
      <c r="AA29" s="2"/>
      <c r="AB29" s="2">
        <v>10</v>
      </c>
      <c r="AC29" s="2">
        <v>10</v>
      </c>
      <c r="AD29" s="2">
        <v>10</v>
      </c>
      <c r="AE29" s="5"/>
      <c r="AF29" s="8">
        <v>0</v>
      </c>
      <c r="AG29" s="2">
        <v>10</v>
      </c>
      <c r="AH29" s="2">
        <v>10</v>
      </c>
      <c r="AI29" s="8">
        <v>0</v>
      </c>
      <c r="AJ29" s="2">
        <v>10</v>
      </c>
      <c r="AK29" s="2">
        <v>10</v>
      </c>
      <c r="AL29" s="5"/>
      <c r="AM29" s="8">
        <v>0</v>
      </c>
      <c r="AN29" s="2">
        <v>10</v>
      </c>
      <c r="AO29" s="20">
        <f t="shared" si="0"/>
        <v>80</v>
      </c>
      <c r="AP29" s="21">
        <v>3</v>
      </c>
      <c r="AQ29" s="22">
        <f t="shared" si="1"/>
        <v>90</v>
      </c>
      <c r="AR29" s="1" t="s">
        <v>93</v>
      </c>
      <c r="AS29" s="2"/>
      <c r="AT29" s="29">
        <f t="shared" si="2"/>
        <v>1430</v>
      </c>
    </row>
    <row r="30" spans="1:46" ht="21" x14ac:dyDescent="0.35">
      <c r="AO30" s="78">
        <f>SUM(AO3:AO29)</f>
        <v>4930</v>
      </c>
      <c r="AS30" s="31" t="s">
        <v>81</v>
      </c>
      <c r="AT30" s="30">
        <f>SUM(AT3:AT29)</f>
        <v>96310</v>
      </c>
    </row>
  </sheetData>
  <mergeCells count="6">
    <mergeCell ref="Q1:R1"/>
    <mergeCell ref="A1:D1"/>
    <mergeCell ref="E1:J1"/>
    <mergeCell ref="K1:L1"/>
    <mergeCell ref="M1:N1"/>
    <mergeCell ref="O1:P1"/>
  </mergeCells>
  <conditionalFormatting sqref="H3:AG3 AI3:AN3 H5:AM5 AN5:AN6 K6:AM6 K7:AH7 AJ7:AN7 K8:AM8 AN8:AN16 K9:N9 P9:X9 Z9:AL9 K10:AM10 K11:Q11 S11:AM11 K12:AH12 AJ12:AL12 K13:AM13 K14:O14 Q14 S14:X14 AA14:AL15 K15:Q15 S15:Y15 K16:O16 S16:W16 Y16:AD16 AF16:AJ16 N17 P17:Q17 K17:L18 N18:R18 V18:AN18 K19:Q19 S19:AL19 AN19 L20:R20 U20:AL20 K21:AN24 K25:AL26 AN25:AN26 K27:AN27 K28:AH29 AJ28:AL29 AN28:AN29 Q4 W4:AE4 AG4:AN4">
    <cfRule type="expression" dxfId="168" priority="3" stopIfTrue="1">
      <formula>AND(COUNTIF($F$1:$AL$3, H3)+COUNTIF($I$4:$AL$27, H3)=1,NOT(ISBLANK(H3)))</formula>
    </cfRule>
  </conditionalFormatting>
  <conditionalFormatting sqref="H3:AG3 AI3:AN3 Q4 W4:AE4 AG4:AN4 H5:AM5 AN5:AN6 K6:AM6 K7:AH7 AJ7:AN7 K8:AM8 AN8:AN16 K9:N9 P9:X9 Z9:AL9 K10:AM10 K11:Q11 S11:AM11 K12:AH12 AJ12:AL12 K13:AM13 K14:O14 Q14 S14:X14 AA14:AL15 K15:Q15 S15:Y15 K16:O16 S16:W16 Y16:AD16 AF16:AJ16 N17 P17:Q17 K17:L18 N18:R18 V18:AN18 K19:Q19 S19:AL19 AN19 L20:R20 U20:AL20 K21:AN24 K25:AL26 AN25:AN26 K27:AN27 K28:AH29 AJ28:AL29 AN28:AN29">
    <cfRule type="containsText" dxfId="167" priority="1" stopIfTrue="1" operator="containsText" text="A">
      <formula>NOT(ISERROR(SEARCH("A",H3)))</formula>
    </cfRule>
  </conditionalFormatting>
  <conditionalFormatting sqref="K7:AH7 H3:AG3 AN5:AN6 AN8:AN16 AI3:AN3 H5:AM5 K6:AM6 K8:AM8 S16:W16 K15:Q15 K21:AN24 K19:Q19 S19:AL19 V18:AN18 L20:R20 U20:AL20 K17:L18 N17 N18:R18 K10:AM10 K9:N9 P9:X9 P17:Q17 K16:O16 K14:O14 Q14 K13:AM13 K11:Q11 S11:AM11 S14:X14 S15:Y15 AA14:AL15 Z9:AL9 K12:AH12 AJ12:AL12 AJ7:AN7 K28:AH29 AJ28:AL29 AN28:AN29 K27:AN27 K25:AL26 AN25:AN26 AN19 Y16:AD16 AF16:AJ16">
    <cfRule type="uniqueValues" dxfId="166" priority="2" stopIfTrue="1"/>
  </conditionalFormatting>
  <conditionalFormatting sqref="Q4 AG4:AN4 W4:AE4">
    <cfRule type="uniqueValues" dxfId="165" priority="4" stopIfTrue="1"/>
  </conditionalFormatting>
  <conditionalFormatting sqref="R14:R17">
    <cfRule type="containsText" dxfId="164" priority="5" stopIfTrue="1" operator="containsText" text="A">
      <formula>NOT(ISERROR(SEARCH("A",R14)))</formula>
    </cfRule>
    <cfRule type="uniqueValues" dxfId="163" priority="6" stopIfTrue="1"/>
    <cfRule type="expression" dxfId="162" priority="7" stopIfTrue="1">
      <formula>AND(COUNTIF($F$1:$AL$3, R14)+COUNTIF($I$4:$AL$27, R14)=1,NOT(ISBLANK(R14)))</formula>
    </cfRule>
  </conditionalFormatting>
  <conditionalFormatting sqref="X17">
    <cfRule type="containsText" dxfId="161" priority="8" stopIfTrue="1" operator="containsText" text="A">
      <formula>NOT(ISERROR(SEARCH("A",X17)))</formula>
    </cfRule>
    <cfRule type="uniqueValues" dxfId="160" priority="9" stopIfTrue="1"/>
    <cfRule type="expression" dxfId="159" priority="10" stopIfTrue="1">
      <formula>AND(COUNTIF($F$1:$AL$3, X17)+COUNTIF($I$4:$AL$27, X17)=1,NOT(ISBLANK(X17)))</formula>
    </cfRule>
  </conditionalFormatting>
  <pageMargins left="0.7" right="0.7" top="0.75" bottom="0.75" header="0.3" footer="0.3"/>
  <pageSetup scale="38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74CA-E794-4488-A9EB-F04B0AFBAD5A}">
  <sheetPr>
    <pageSetUpPr fitToPage="1"/>
  </sheetPr>
  <dimension ref="A1:AR41"/>
  <sheetViews>
    <sheetView topLeftCell="AA25" zoomScale="70" zoomScaleNormal="70" workbookViewId="0">
      <selection activeCell="AP32" sqref="AP32"/>
    </sheetView>
  </sheetViews>
  <sheetFormatPr defaultColWidth="9.1796875" defaultRowHeight="18.5" x14ac:dyDescent="0.35"/>
  <cols>
    <col min="1" max="1" width="8.1796875" style="6" bestFit="1" customWidth="1"/>
    <col min="2" max="2" width="16" style="3" bestFit="1" customWidth="1"/>
    <col min="3" max="3" width="16.26953125" style="7" bestFit="1" customWidth="1"/>
    <col min="4" max="4" width="30.453125" style="27" customWidth="1"/>
    <col min="5" max="5" width="14.90625" style="27" customWidth="1"/>
    <col min="6" max="6" width="10.26953125" style="3" customWidth="1"/>
    <col min="7" max="7" width="9.1796875" style="3" customWidth="1"/>
    <col min="8" max="13" width="7.1796875" style="3" customWidth="1"/>
    <col min="14" max="14" width="8.54296875" style="3" customWidth="1"/>
    <col min="15" max="20" width="7.1796875" style="3" customWidth="1"/>
    <col min="21" max="21" width="8.54296875" style="3" customWidth="1"/>
    <col min="22" max="22" width="7.81640625" style="3" bestFit="1" customWidth="1"/>
    <col min="23" max="27" width="7.1796875" style="3" customWidth="1"/>
    <col min="28" max="28" width="8.54296875" style="3" customWidth="1"/>
    <col min="29" max="33" width="7.1796875" style="3" customWidth="1"/>
    <col min="34" max="34" width="6.7265625" style="3" bestFit="1" customWidth="1"/>
    <col min="35" max="35" width="8.54296875" style="3" customWidth="1"/>
    <col min="36" max="38" width="7.1796875" style="3" customWidth="1"/>
    <col min="39" max="39" width="9.1796875" style="3"/>
    <col min="40" max="40" width="11.81640625" style="3" customWidth="1"/>
    <col min="41" max="41" width="14.81640625" style="3" customWidth="1"/>
    <col min="42" max="42" width="78.08984375" style="3" customWidth="1"/>
    <col min="43" max="43" width="20.81640625" style="3" customWidth="1"/>
    <col min="44" max="44" width="14.81640625" style="75" bestFit="1" customWidth="1"/>
    <col min="45" max="16384" width="9.1796875" style="3"/>
  </cols>
  <sheetData>
    <row r="1" spans="1:44" ht="41.5" customHeight="1" x14ac:dyDescent="0.35">
      <c r="A1" s="91" t="s">
        <v>79</v>
      </c>
      <c r="B1" s="91"/>
      <c r="C1" s="91"/>
      <c r="D1" s="91"/>
      <c r="E1" s="106" t="s">
        <v>82</v>
      </c>
      <c r="F1" s="107"/>
      <c r="G1" s="107"/>
      <c r="H1" s="107"/>
      <c r="I1" s="108"/>
      <c r="J1" s="109" t="s">
        <v>7</v>
      </c>
      <c r="K1" s="109"/>
      <c r="L1" s="110" t="s">
        <v>4</v>
      </c>
      <c r="M1" s="110"/>
      <c r="N1" s="111" t="s">
        <v>5</v>
      </c>
      <c r="O1" s="111"/>
      <c r="P1" s="104" t="s">
        <v>73</v>
      </c>
      <c r="Q1" s="105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4" s="42" customFormat="1" ht="90.65" customHeight="1" x14ac:dyDescent="0.35">
      <c r="A2" s="35" t="s">
        <v>0</v>
      </c>
      <c r="B2" s="35" t="s">
        <v>40</v>
      </c>
      <c r="C2" s="36" t="s">
        <v>39</v>
      </c>
      <c r="D2" s="35" t="s">
        <v>6</v>
      </c>
      <c r="E2" s="45" t="s">
        <v>38</v>
      </c>
      <c r="F2" s="35" t="s">
        <v>3</v>
      </c>
      <c r="G2" s="37" t="s">
        <v>89</v>
      </c>
      <c r="H2" s="50">
        <v>45992</v>
      </c>
      <c r="I2" s="50">
        <v>45993</v>
      </c>
      <c r="J2" s="50">
        <v>45994</v>
      </c>
      <c r="K2" s="50">
        <v>45995</v>
      </c>
      <c r="L2" s="50">
        <v>45996</v>
      </c>
      <c r="M2" s="50">
        <v>45997</v>
      </c>
      <c r="N2" s="50">
        <v>45998</v>
      </c>
      <c r="O2" s="50">
        <v>45999</v>
      </c>
      <c r="P2" s="50">
        <v>46000</v>
      </c>
      <c r="Q2" s="50">
        <v>46001</v>
      </c>
      <c r="R2" s="50">
        <v>46002</v>
      </c>
      <c r="S2" s="50">
        <v>46003</v>
      </c>
      <c r="T2" s="50">
        <v>46004</v>
      </c>
      <c r="U2" s="50">
        <v>46005</v>
      </c>
      <c r="V2" s="50">
        <v>46006</v>
      </c>
      <c r="W2" s="50">
        <v>46007</v>
      </c>
      <c r="X2" s="50">
        <v>46008</v>
      </c>
      <c r="Y2" s="50">
        <v>46009</v>
      </c>
      <c r="Z2" s="50">
        <v>46010</v>
      </c>
      <c r="AA2" s="50">
        <v>46011</v>
      </c>
      <c r="AB2" s="50">
        <v>46012</v>
      </c>
      <c r="AC2" s="50">
        <v>46013</v>
      </c>
      <c r="AD2" s="50">
        <v>46014</v>
      </c>
      <c r="AE2" s="50">
        <v>46015</v>
      </c>
      <c r="AF2" s="50">
        <v>46016</v>
      </c>
      <c r="AG2" s="50">
        <v>46017</v>
      </c>
      <c r="AH2" s="50">
        <v>46018</v>
      </c>
      <c r="AI2" s="50">
        <v>46019</v>
      </c>
      <c r="AJ2" s="50">
        <v>46020</v>
      </c>
      <c r="AK2" s="50">
        <v>46021</v>
      </c>
      <c r="AL2" s="50">
        <v>46022</v>
      </c>
      <c r="AM2" s="38" t="s">
        <v>1</v>
      </c>
      <c r="AN2" s="39" t="s">
        <v>76</v>
      </c>
      <c r="AO2" s="40" t="s">
        <v>77</v>
      </c>
      <c r="AP2" s="35" t="s">
        <v>2</v>
      </c>
      <c r="AQ2" s="35" t="s">
        <v>74</v>
      </c>
      <c r="AR2" s="41" t="s">
        <v>80</v>
      </c>
    </row>
    <row r="3" spans="1:44" ht="24" customHeight="1" x14ac:dyDescent="0.35">
      <c r="A3" s="10">
        <v>1</v>
      </c>
      <c r="B3" s="10">
        <v>2493987735</v>
      </c>
      <c r="C3" s="10">
        <v>571383147</v>
      </c>
      <c r="D3" s="25" t="s">
        <v>8</v>
      </c>
      <c r="E3" s="46" t="s">
        <v>9</v>
      </c>
      <c r="F3" s="11" t="s">
        <v>10</v>
      </c>
      <c r="G3" s="48">
        <v>25</v>
      </c>
      <c r="H3" s="51">
        <v>10</v>
      </c>
      <c r="I3" s="51">
        <v>10</v>
      </c>
      <c r="J3" s="51">
        <v>10</v>
      </c>
      <c r="K3" s="51">
        <v>10</v>
      </c>
      <c r="L3" s="52"/>
      <c r="M3" s="51">
        <v>10</v>
      </c>
      <c r="N3" s="51">
        <v>10</v>
      </c>
      <c r="O3" s="51">
        <v>10</v>
      </c>
      <c r="P3" s="51">
        <v>10</v>
      </c>
      <c r="Q3" s="51">
        <v>10</v>
      </c>
      <c r="R3" s="51">
        <v>10</v>
      </c>
      <c r="S3" s="52"/>
      <c r="T3" s="55">
        <v>0</v>
      </c>
      <c r="U3" s="51">
        <v>10</v>
      </c>
      <c r="V3" s="51">
        <v>10</v>
      </c>
      <c r="W3" s="51">
        <v>10</v>
      </c>
      <c r="X3" s="51">
        <v>10</v>
      </c>
      <c r="Y3" s="51">
        <v>10</v>
      </c>
      <c r="Z3" s="52"/>
      <c r="AA3" s="51">
        <v>10</v>
      </c>
      <c r="AB3" s="51">
        <v>10</v>
      </c>
      <c r="AC3" s="51">
        <v>10</v>
      </c>
      <c r="AD3" s="51">
        <v>10</v>
      </c>
      <c r="AE3" s="51">
        <v>10</v>
      </c>
      <c r="AF3" s="51">
        <v>10</v>
      </c>
      <c r="AG3" s="52"/>
      <c r="AH3" s="51">
        <v>10</v>
      </c>
      <c r="AI3" s="51">
        <v>10</v>
      </c>
      <c r="AJ3" s="51">
        <v>10</v>
      </c>
      <c r="AK3" s="51">
        <v>10</v>
      </c>
      <c r="AL3" s="56">
        <v>0</v>
      </c>
      <c r="AM3" s="69">
        <f>SUM(H3:AL3)</f>
        <v>250</v>
      </c>
      <c r="AN3" s="70">
        <v>2</v>
      </c>
      <c r="AO3" s="71">
        <f>15*AN3</f>
        <v>30</v>
      </c>
      <c r="AP3" s="1" t="s">
        <v>92</v>
      </c>
      <c r="AQ3" s="1"/>
      <c r="AR3" s="76">
        <f>G3*AM3-AO3</f>
        <v>6220</v>
      </c>
    </row>
    <row r="4" spans="1:44" ht="24" customHeight="1" x14ac:dyDescent="0.35">
      <c r="A4" s="17">
        <v>2</v>
      </c>
      <c r="B4" s="17">
        <v>2540375504</v>
      </c>
      <c r="C4" s="18">
        <v>534367195</v>
      </c>
      <c r="D4" s="26" t="s">
        <v>27</v>
      </c>
      <c r="E4" s="47" t="s">
        <v>9</v>
      </c>
      <c r="F4" s="19" t="s">
        <v>10</v>
      </c>
      <c r="G4" s="48">
        <v>25</v>
      </c>
      <c r="H4" s="51">
        <v>10</v>
      </c>
      <c r="I4" s="51">
        <v>10</v>
      </c>
      <c r="J4" s="51">
        <v>10</v>
      </c>
      <c r="K4" s="51">
        <v>10</v>
      </c>
      <c r="L4" s="53"/>
      <c r="M4" s="51">
        <v>10</v>
      </c>
      <c r="N4" s="51">
        <v>10</v>
      </c>
      <c r="O4" s="51">
        <v>10</v>
      </c>
      <c r="P4" s="51">
        <v>10</v>
      </c>
      <c r="Q4" s="51">
        <v>10</v>
      </c>
      <c r="R4" s="55">
        <v>0</v>
      </c>
      <c r="S4" s="53"/>
      <c r="T4" s="51">
        <v>10</v>
      </c>
      <c r="U4" s="51">
        <v>10</v>
      </c>
      <c r="V4" s="51">
        <v>10</v>
      </c>
      <c r="W4" s="51">
        <v>10</v>
      </c>
      <c r="X4" s="51">
        <v>10</v>
      </c>
      <c r="Y4" s="51">
        <v>10</v>
      </c>
      <c r="Z4" s="52"/>
      <c r="AA4" s="51">
        <v>10</v>
      </c>
      <c r="AB4" s="51">
        <v>10</v>
      </c>
      <c r="AC4" s="51">
        <v>10</v>
      </c>
      <c r="AD4" s="51">
        <v>10</v>
      </c>
      <c r="AE4" s="51">
        <v>10</v>
      </c>
      <c r="AF4" s="51">
        <v>10</v>
      </c>
      <c r="AG4" s="52"/>
      <c r="AH4" s="51">
        <v>10</v>
      </c>
      <c r="AI4" s="51">
        <v>10</v>
      </c>
      <c r="AJ4" s="51">
        <v>10</v>
      </c>
      <c r="AK4" s="51">
        <v>10</v>
      </c>
      <c r="AL4" s="56">
        <v>0</v>
      </c>
      <c r="AM4" s="69">
        <f t="shared" ref="AM4:AM34" si="0">SUM(H4:AL4)</f>
        <v>250</v>
      </c>
      <c r="AN4" s="72">
        <v>2</v>
      </c>
      <c r="AO4" s="71">
        <f t="shared" ref="AO4:AO34" si="1">15*AN4</f>
        <v>30</v>
      </c>
      <c r="AP4" s="1" t="s">
        <v>92</v>
      </c>
      <c r="AQ4" s="2"/>
      <c r="AR4" s="76">
        <f t="shared" ref="AR4:AR13" si="2">G4*AM4-AO4</f>
        <v>6220</v>
      </c>
    </row>
    <row r="5" spans="1:44" ht="24" customHeight="1" x14ac:dyDescent="0.35">
      <c r="A5" s="10">
        <v>3</v>
      </c>
      <c r="B5" s="17">
        <v>2509110447</v>
      </c>
      <c r="C5" s="18">
        <v>574769759</v>
      </c>
      <c r="D5" s="26" t="s">
        <v>11</v>
      </c>
      <c r="E5" s="47" t="s">
        <v>9</v>
      </c>
      <c r="F5" s="19" t="s">
        <v>10</v>
      </c>
      <c r="G5" s="48">
        <v>25</v>
      </c>
      <c r="H5" s="51">
        <v>10</v>
      </c>
      <c r="I5" s="51">
        <v>10</v>
      </c>
      <c r="J5" s="51">
        <v>10</v>
      </c>
      <c r="K5" s="51">
        <v>10</v>
      </c>
      <c r="L5" s="52"/>
      <c r="M5" s="51">
        <v>10</v>
      </c>
      <c r="N5" s="51">
        <v>10</v>
      </c>
      <c r="O5" s="51">
        <v>10</v>
      </c>
      <c r="P5" s="51">
        <v>10</v>
      </c>
      <c r="Q5" s="51">
        <v>10</v>
      </c>
      <c r="R5" s="51">
        <v>10</v>
      </c>
      <c r="S5" s="52"/>
      <c r="T5" s="51">
        <v>10</v>
      </c>
      <c r="U5" s="51">
        <v>10</v>
      </c>
      <c r="V5" s="54">
        <v>0</v>
      </c>
      <c r="W5" s="54">
        <v>0</v>
      </c>
      <c r="X5" s="54">
        <v>0</v>
      </c>
      <c r="Y5" s="54">
        <v>0</v>
      </c>
      <c r="Z5" s="52"/>
      <c r="AA5" s="54">
        <v>0</v>
      </c>
      <c r="AB5" s="54">
        <v>0</v>
      </c>
      <c r="AC5" s="54">
        <v>0</v>
      </c>
      <c r="AD5" s="54">
        <v>0</v>
      </c>
      <c r="AE5" s="54">
        <v>0</v>
      </c>
      <c r="AF5" s="54">
        <v>0</v>
      </c>
      <c r="AG5" s="52"/>
      <c r="AH5" s="54">
        <v>0</v>
      </c>
      <c r="AI5" s="54">
        <v>0</v>
      </c>
      <c r="AJ5" s="54">
        <v>0</v>
      </c>
      <c r="AK5" s="54">
        <v>0</v>
      </c>
      <c r="AL5" s="54">
        <v>0</v>
      </c>
      <c r="AM5" s="69">
        <f t="shared" si="0"/>
        <v>120</v>
      </c>
      <c r="AN5" s="43"/>
      <c r="AO5" s="73">
        <f t="shared" si="1"/>
        <v>0</v>
      </c>
      <c r="AP5" s="62" t="s">
        <v>94</v>
      </c>
      <c r="AQ5" s="2"/>
      <c r="AR5" s="76">
        <f t="shared" si="2"/>
        <v>3000</v>
      </c>
    </row>
    <row r="6" spans="1:44" x14ac:dyDescent="0.35">
      <c r="A6" s="17">
        <v>4</v>
      </c>
      <c r="B6" s="17">
        <v>2247046150</v>
      </c>
      <c r="C6" s="18">
        <v>551491295</v>
      </c>
      <c r="D6" s="26" t="s">
        <v>13</v>
      </c>
      <c r="E6" s="47" t="s">
        <v>12</v>
      </c>
      <c r="F6" s="19" t="s">
        <v>10</v>
      </c>
      <c r="G6" s="48">
        <v>25</v>
      </c>
      <c r="H6" s="51">
        <v>10</v>
      </c>
      <c r="I6" s="51">
        <v>10</v>
      </c>
      <c r="J6" s="51">
        <v>10</v>
      </c>
      <c r="K6" s="51">
        <v>10</v>
      </c>
      <c r="L6" s="52"/>
      <c r="M6" s="51">
        <v>10</v>
      </c>
      <c r="N6" s="51">
        <v>10</v>
      </c>
      <c r="O6" s="51">
        <v>10</v>
      </c>
      <c r="P6" s="51">
        <v>10</v>
      </c>
      <c r="Q6" s="51">
        <v>10</v>
      </c>
      <c r="R6" s="51">
        <v>10</v>
      </c>
      <c r="S6" s="52"/>
      <c r="T6" s="51">
        <v>10</v>
      </c>
      <c r="U6" s="51">
        <v>10</v>
      </c>
      <c r="V6" s="55">
        <v>0</v>
      </c>
      <c r="W6" s="51">
        <v>10</v>
      </c>
      <c r="X6" s="51">
        <v>10</v>
      </c>
      <c r="Y6" s="51">
        <v>10</v>
      </c>
      <c r="Z6" s="52"/>
      <c r="AA6" s="51">
        <v>10</v>
      </c>
      <c r="AB6" s="51">
        <v>10</v>
      </c>
      <c r="AC6" s="51">
        <v>10</v>
      </c>
      <c r="AD6" s="51">
        <v>10</v>
      </c>
      <c r="AE6" s="51">
        <v>10</v>
      </c>
      <c r="AF6" s="51">
        <v>10</v>
      </c>
      <c r="AG6" s="52"/>
      <c r="AH6" s="51">
        <v>10</v>
      </c>
      <c r="AI6" s="51">
        <v>10</v>
      </c>
      <c r="AJ6" s="51">
        <v>10</v>
      </c>
      <c r="AK6" s="51">
        <v>10</v>
      </c>
      <c r="AL6" s="56">
        <v>0</v>
      </c>
      <c r="AM6" s="69">
        <f t="shared" si="0"/>
        <v>250</v>
      </c>
      <c r="AN6" s="72">
        <v>2</v>
      </c>
      <c r="AO6" s="71">
        <f t="shared" si="1"/>
        <v>30</v>
      </c>
      <c r="AP6" s="1" t="s">
        <v>92</v>
      </c>
      <c r="AQ6" s="2"/>
      <c r="AR6" s="76">
        <f t="shared" si="2"/>
        <v>6220</v>
      </c>
    </row>
    <row r="7" spans="1:44" x14ac:dyDescent="0.35">
      <c r="A7" s="10">
        <v>5</v>
      </c>
      <c r="B7" s="17">
        <v>2547591764</v>
      </c>
      <c r="C7" s="18">
        <v>571436210</v>
      </c>
      <c r="D7" s="26" t="s">
        <v>31</v>
      </c>
      <c r="E7" s="47" t="s">
        <v>12</v>
      </c>
      <c r="F7" s="19" t="s">
        <v>10</v>
      </c>
      <c r="G7" s="48">
        <v>25</v>
      </c>
      <c r="H7" s="51">
        <v>10</v>
      </c>
      <c r="I7" s="51">
        <v>10</v>
      </c>
      <c r="J7" s="51">
        <v>10</v>
      </c>
      <c r="K7" s="51">
        <v>10</v>
      </c>
      <c r="L7" s="5"/>
      <c r="M7" s="51">
        <v>10</v>
      </c>
      <c r="N7" s="51">
        <v>10</v>
      </c>
      <c r="O7" s="51">
        <v>10</v>
      </c>
      <c r="P7" s="51">
        <v>10</v>
      </c>
      <c r="Q7" s="51">
        <v>10</v>
      </c>
      <c r="R7" s="51">
        <v>10</v>
      </c>
      <c r="S7" s="52"/>
      <c r="T7" s="51">
        <v>10</v>
      </c>
      <c r="U7" s="51">
        <v>10</v>
      </c>
      <c r="V7" s="51">
        <v>10</v>
      </c>
      <c r="W7" s="51">
        <v>10</v>
      </c>
      <c r="X7" s="51">
        <v>10</v>
      </c>
      <c r="Y7" s="51">
        <v>10</v>
      </c>
      <c r="Z7" s="52"/>
      <c r="AA7" s="51">
        <v>10</v>
      </c>
      <c r="AB7" s="55">
        <v>0</v>
      </c>
      <c r="AC7" s="51">
        <v>10</v>
      </c>
      <c r="AD7" s="51">
        <v>10</v>
      </c>
      <c r="AE7" s="51">
        <v>10</v>
      </c>
      <c r="AF7" s="51">
        <v>10</v>
      </c>
      <c r="AG7" s="52"/>
      <c r="AH7" s="51">
        <v>10</v>
      </c>
      <c r="AI7" s="51">
        <v>10</v>
      </c>
      <c r="AJ7" s="51">
        <v>10</v>
      </c>
      <c r="AK7" s="51">
        <v>10</v>
      </c>
      <c r="AL7" s="56">
        <v>0</v>
      </c>
      <c r="AM7" s="69">
        <f t="shared" si="0"/>
        <v>250</v>
      </c>
      <c r="AN7" s="72">
        <v>2</v>
      </c>
      <c r="AO7" s="71">
        <f t="shared" si="1"/>
        <v>30</v>
      </c>
      <c r="AP7" s="1" t="s">
        <v>92</v>
      </c>
      <c r="AQ7" s="2"/>
      <c r="AR7" s="76">
        <f t="shared" si="2"/>
        <v>6220</v>
      </c>
    </row>
    <row r="8" spans="1:44" x14ac:dyDescent="0.35">
      <c r="A8" s="17">
        <v>6</v>
      </c>
      <c r="B8" s="17">
        <v>2496211331</v>
      </c>
      <c r="C8" s="18">
        <v>578363211</v>
      </c>
      <c r="D8" s="26" t="s">
        <v>83</v>
      </c>
      <c r="E8" s="47" t="s">
        <v>12</v>
      </c>
      <c r="F8" s="19" t="s">
        <v>10</v>
      </c>
      <c r="G8" s="48">
        <v>25</v>
      </c>
      <c r="H8" s="51"/>
      <c r="I8" s="51"/>
      <c r="J8" s="51"/>
      <c r="K8" s="51"/>
      <c r="L8" s="5"/>
      <c r="M8" s="51"/>
      <c r="N8" s="51"/>
      <c r="O8" s="51"/>
      <c r="P8" s="51"/>
      <c r="Q8" s="51"/>
      <c r="R8" s="51"/>
      <c r="S8" s="52"/>
      <c r="T8" s="51"/>
      <c r="U8" s="51"/>
      <c r="V8" s="51"/>
      <c r="W8" s="51">
        <v>10</v>
      </c>
      <c r="X8" s="54">
        <v>0</v>
      </c>
      <c r="Y8" s="54">
        <v>0</v>
      </c>
      <c r="Z8" s="52"/>
      <c r="AA8" s="54">
        <v>0</v>
      </c>
      <c r="AB8" s="54">
        <v>0</v>
      </c>
      <c r="AC8" s="54">
        <v>0</v>
      </c>
      <c r="AD8" s="54">
        <v>0</v>
      </c>
      <c r="AE8" s="54">
        <v>0</v>
      </c>
      <c r="AF8" s="54">
        <v>0</v>
      </c>
      <c r="AG8" s="52"/>
      <c r="AH8" s="54">
        <v>0</v>
      </c>
      <c r="AI8" s="54">
        <v>0</v>
      </c>
      <c r="AJ8" s="54">
        <v>0</v>
      </c>
      <c r="AK8" s="54">
        <v>0</v>
      </c>
      <c r="AL8" s="54">
        <v>0</v>
      </c>
      <c r="AM8" s="69">
        <f t="shared" si="0"/>
        <v>10</v>
      </c>
      <c r="AN8" s="43"/>
      <c r="AO8" s="73">
        <f t="shared" si="1"/>
        <v>0</v>
      </c>
      <c r="AP8" s="62" t="s">
        <v>94</v>
      </c>
      <c r="AQ8" s="2"/>
      <c r="AR8" s="76">
        <f t="shared" si="2"/>
        <v>250</v>
      </c>
    </row>
    <row r="9" spans="1:44" x14ac:dyDescent="0.35">
      <c r="A9" s="10">
        <v>7</v>
      </c>
      <c r="B9" s="17">
        <v>2527095869</v>
      </c>
      <c r="C9" s="18">
        <v>545239648</v>
      </c>
      <c r="D9" s="26" t="s">
        <v>84</v>
      </c>
      <c r="E9" s="47" t="s">
        <v>12</v>
      </c>
      <c r="F9" s="19" t="s">
        <v>10</v>
      </c>
      <c r="G9" s="48">
        <v>25</v>
      </c>
      <c r="H9" s="51"/>
      <c r="I9" s="51"/>
      <c r="J9" s="51"/>
      <c r="K9" s="51"/>
      <c r="L9" s="5"/>
      <c r="M9" s="51"/>
      <c r="N9" s="51"/>
      <c r="O9" s="51"/>
      <c r="P9" s="51"/>
      <c r="Q9" s="51"/>
      <c r="R9" s="51"/>
      <c r="S9" s="52"/>
      <c r="T9" s="51"/>
      <c r="U9" s="51"/>
      <c r="V9" s="51"/>
      <c r="W9" s="51">
        <v>10</v>
      </c>
      <c r="X9" s="51">
        <v>10</v>
      </c>
      <c r="Y9" s="51">
        <v>10</v>
      </c>
      <c r="Z9" s="52"/>
      <c r="AA9" s="55">
        <v>0</v>
      </c>
      <c r="AB9" s="51">
        <v>10</v>
      </c>
      <c r="AC9" s="51">
        <v>10</v>
      </c>
      <c r="AD9" s="51">
        <v>10</v>
      </c>
      <c r="AE9" s="51">
        <v>10</v>
      </c>
      <c r="AF9" s="55">
        <v>0</v>
      </c>
      <c r="AG9" s="52"/>
      <c r="AH9" s="51">
        <v>10</v>
      </c>
      <c r="AI9" s="51">
        <v>10</v>
      </c>
      <c r="AJ9" s="51">
        <v>10</v>
      </c>
      <c r="AK9" s="51">
        <v>10</v>
      </c>
      <c r="AL9" s="56">
        <v>0</v>
      </c>
      <c r="AM9" s="69">
        <f t="shared" si="0"/>
        <v>110</v>
      </c>
      <c r="AN9" s="72">
        <v>3</v>
      </c>
      <c r="AO9" s="71">
        <f t="shared" si="1"/>
        <v>45</v>
      </c>
      <c r="AP9" s="62" t="s">
        <v>94</v>
      </c>
      <c r="AQ9" s="2"/>
      <c r="AR9" s="76">
        <f t="shared" si="2"/>
        <v>2705</v>
      </c>
    </row>
    <row r="10" spans="1:44" x14ac:dyDescent="0.35">
      <c r="A10" s="17">
        <v>8</v>
      </c>
      <c r="B10" s="17">
        <v>2548560578</v>
      </c>
      <c r="C10" s="18">
        <v>597492745</v>
      </c>
      <c r="D10" s="26" t="s">
        <v>85</v>
      </c>
      <c r="E10" s="47" t="s">
        <v>12</v>
      </c>
      <c r="F10" s="19" t="s">
        <v>10</v>
      </c>
      <c r="G10" s="48">
        <v>25</v>
      </c>
      <c r="H10" s="51"/>
      <c r="I10" s="51"/>
      <c r="J10" s="51"/>
      <c r="K10" s="51"/>
      <c r="L10" s="5"/>
      <c r="M10" s="51"/>
      <c r="N10" s="51"/>
      <c r="O10" s="51"/>
      <c r="P10" s="51"/>
      <c r="Q10" s="51"/>
      <c r="R10" s="51"/>
      <c r="S10" s="52"/>
      <c r="T10" s="51"/>
      <c r="U10" s="51"/>
      <c r="V10" s="51"/>
      <c r="W10" s="51">
        <v>10</v>
      </c>
      <c r="X10" s="51">
        <v>10</v>
      </c>
      <c r="Y10" s="51">
        <v>10</v>
      </c>
      <c r="Z10" s="52"/>
      <c r="AA10" s="55">
        <v>0</v>
      </c>
      <c r="AB10" s="51">
        <v>10</v>
      </c>
      <c r="AC10" s="51">
        <v>10</v>
      </c>
      <c r="AD10" s="51">
        <v>10</v>
      </c>
      <c r="AE10" s="51">
        <v>10</v>
      </c>
      <c r="AF10" s="55">
        <v>0</v>
      </c>
      <c r="AG10" s="52"/>
      <c r="AH10" s="51">
        <v>10</v>
      </c>
      <c r="AI10" s="51">
        <v>10</v>
      </c>
      <c r="AJ10" s="55">
        <v>0</v>
      </c>
      <c r="AK10" s="51">
        <v>10</v>
      </c>
      <c r="AL10" s="56">
        <v>0</v>
      </c>
      <c r="AM10" s="69">
        <f t="shared" si="0"/>
        <v>100</v>
      </c>
      <c r="AN10" s="72">
        <v>4</v>
      </c>
      <c r="AO10" s="71">
        <f t="shared" si="1"/>
        <v>60</v>
      </c>
      <c r="AP10" s="62" t="s">
        <v>94</v>
      </c>
      <c r="AQ10" s="2"/>
      <c r="AR10" s="76">
        <f t="shared" si="2"/>
        <v>2440</v>
      </c>
    </row>
    <row r="11" spans="1:44" x14ac:dyDescent="0.35">
      <c r="A11" s="10">
        <v>9</v>
      </c>
      <c r="B11" s="17">
        <v>2495936201</v>
      </c>
      <c r="C11" s="18">
        <v>572074632</v>
      </c>
      <c r="D11" s="26" t="s">
        <v>86</v>
      </c>
      <c r="E11" s="47" t="s">
        <v>12</v>
      </c>
      <c r="F11" s="19" t="s">
        <v>10</v>
      </c>
      <c r="G11" s="48">
        <v>25</v>
      </c>
      <c r="H11" s="51"/>
      <c r="I11" s="51"/>
      <c r="J11" s="51"/>
      <c r="K11" s="51"/>
      <c r="L11" s="5"/>
      <c r="M11" s="51"/>
      <c r="N11" s="51"/>
      <c r="O11" s="51"/>
      <c r="P11" s="51"/>
      <c r="Q11" s="51"/>
      <c r="R11" s="51"/>
      <c r="S11" s="52"/>
      <c r="T11" s="51"/>
      <c r="U11" s="51"/>
      <c r="V11" s="51"/>
      <c r="W11" s="51">
        <v>10</v>
      </c>
      <c r="X11" s="51">
        <v>10</v>
      </c>
      <c r="Y11" s="51">
        <v>10</v>
      </c>
      <c r="Z11" s="52"/>
      <c r="AA11" s="55">
        <v>0</v>
      </c>
      <c r="AB11" s="51">
        <v>10</v>
      </c>
      <c r="AC11" s="51">
        <v>10</v>
      </c>
      <c r="AD11" s="51">
        <v>10</v>
      </c>
      <c r="AE11" s="51">
        <v>10</v>
      </c>
      <c r="AF11" s="51">
        <v>10</v>
      </c>
      <c r="AG11" s="52"/>
      <c r="AH11" s="51">
        <v>10</v>
      </c>
      <c r="AI11" s="51">
        <v>10</v>
      </c>
      <c r="AJ11" s="55">
        <v>0</v>
      </c>
      <c r="AK11" s="51">
        <v>10</v>
      </c>
      <c r="AL11" s="56">
        <v>0</v>
      </c>
      <c r="AM11" s="69">
        <f t="shared" si="0"/>
        <v>110</v>
      </c>
      <c r="AN11" s="72">
        <v>3</v>
      </c>
      <c r="AO11" s="71">
        <f t="shared" si="1"/>
        <v>45</v>
      </c>
      <c r="AP11" s="62" t="s">
        <v>94</v>
      </c>
      <c r="AQ11" s="2"/>
      <c r="AR11" s="76">
        <f t="shared" si="2"/>
        <v>2705</v>
      </c>
    </row>
    <row r="12" spans="1:44" x14ac:dyDescent="0.35">
      <c r="A12" s="17">
        <v>10</v>
      </c>
      <c r="B12" s="17">
        <v>2513088977</v>
      </c>
      <c r="C12" s="18">
        <v>594529335</v>
      </c>
      <c r="D12" s="26" t="s">
        <v>87</v>
      </c>
      <c r="E12" s="47" t="s">
        <v>12</v>
      </c>
      <c r="F12" s="19" t="s">
        <v>10</v>
      </c>
      <c r="G12" s="48">
        <v>25</v>
      </c>
      <c r="H12" s="51"/>
      <c r="I12" s="51"/>
      <c r="J12" s="51"/>
      <c r="K12" s="51"/>
      <c r="L12" s="5"/>
      <c r="M12" s="51"/>
      <c r="N12" s="51"/>
      <c r="O12" s="51"/>
      <c r="P12" s="51"/>
      <c r="Q12" s="51"/>
      <c r="R12" s="51"/>
      <c r="S12" s="52"/>
      <c r="T12" s="51"/>
      <c r="U12" s="51"/>
      <c r="V12" s="51"/>
      <c r="W12" s="51">
        <v>10</v>
      </c>
      <c r="X12" s="51">
        <v>10</v>
      </c>
      <c r="Y12" s="51">
        <v>10</v>
      </c>
      <c r="Z12" s="52"/>
      <c r="AA12" s="55">
        <v>0</v>
      </c>
      <c r="AB12" s="51">
        <v>10</v>
      </c>
      <c r="AC12" s="51">
        <v>10</v>
      </c>
      <c r="AD12" s="51">
        <v>10</v>
      </c>
      <c r="AE12" s="51">
        <v>10</v>
      </c>
      <c r="AF12" s="51">
        <v>10</v>
      </c>
      <c r="AG12" s="52"/>
      <c r="AH12" s="51">
        <v>10</v>
      </c>
      <c r="AI12" s="51">
        <v>10</v>
      </c>
      <c r="AJ12" s="51">
        <v>10</v>
      </c>
      <c r="AK12" s="51">
        <v>10</v>
      </c>
      <c r="AL12" s="56">
        <v>0</v>
      </c>
      <c r="AM12" s="69">
        <f t="shared" si="0"/>
        <v>120</v>
      </c>
      <c r="AN12" s="72">
        <v>2</v>
      </c>
      <c r="AO12" s="71">
        <f t="shared" si="1"/>
        <v>30</v>
      </c>
      <c r="AP12" s="62" t="s">
        <v>94</v>
      </c>
      <c r="AQ12" s="2"/>
      <c r="AR12" s="76">
        <f t="shared" si="2"/>
        <v>2970</v>
      </c>
    </row>
    <row r="13" spans="1:44" x14ac:dyDescent="0.35">
      <c r="A13" s="10">
        <v>11</v>
      </c>
      <c r="B13" s="17">
        <v>2494240860</v>
      </c>
      <c r="C13" s="18">
        <v>583964932</v>
      </c>
      <c r="D13" s="26" t="s">
        <v>88</v>
      </c>
      <c r="E13" s="47" t="s">
        <v>12</v>
      </c>
      <c r="F13" s="19" t="s">
        <v>10</v>
      </c>
      <c r="G13" s="48">
        <v>25</v>
      </c>
      <c r="H13" s="51"/>
      <c r="I13" s="51"/>
      <c r="J13" s="51"/>
      <c r="K13" s="51"/>
      <c r="L13" s="5"/>
      <c r="M13" s="51"/>
      <c r="N13" s="51"/>
      <c r="O13" s="51"/>
      <c r="P13" s="51"/>
      <c r="Q13" s="51"/>
      <c r="R13" s="51"/>
      <c r="S13" s="52"/>
      <c r="T13" s="51"/>
      <c r="U13" s="51"/>
      <c r="V13" s="51"/>
      <c r="W13" s="51"/>
      <c r="X13" s="51"/>
      <c r="Y13" s="51"/>
      <c r="Z13" s="52"/>
      <c r="AA13" s="51">
        <v>10</v>
      </c>
      <c r="AB13" s="51">
        <v>10</v>
      </c>
      <c r="AC13" s="51">
        <v>10</v>
      </c>
      <c r="AD13" s="51">
        <v>10</v>
      </c>
      <c r="AE13" s="51">
        <v>10</v>
      </c>
      <c r="AF13" s="51">
        <v>10</v>
      </c>
      <c r="AG13" s="52"/>
      <c r="AH13" s="51">
        <v>10</v>
      </c>
      <c r="AI13" s="51">
        <v>10</v>
      </c>
      <c r="AJ13" s="51">
        <v>10</v>
      </c>
      <c r="AK13" s="51">
        <v>10</v>
      </c>
      <c r="AL13" s="56">
        <v>0</v>
      </c>
      <c r="AM13" s="69">
        <f t="shared" si="0"/>
        <v>100</v>
      </c>
      <c r="AN13" s="72">
        <v>1</v>
      </c>
      <c r="AO13" s="71">
        <f t="shared" si="1"/>
        <v>15</v>
      </c>
      <c r="AP13" s="62" t="s">
        <v>94</v>
      </c>
      <c r="AQ13" s="2"/>
      <c r="AR13" s="76">
        <f t="shared" si="2"/>
        <v>2485</v>
      </c>
    </row>
    <row r="14" spans="1:44" x14ac:dyDescent="0.35">
      <c r="A14" s="10">
        <v>12</v>
      </c>
      <c r="B14" s="17">
        <v>2351621194</v>
      </c>
      <c r="C14" s="18">
        <v>548908860</v>
      </c>
      <c r="D14" s="26" t="s">
        <v>14</v>
      </c>
      <c r="E14" s="47" t="s">
        <v>41</v>
      </c>
      <c r="F14" s="19" t="s">
        <v>10</v>
      </c>
      <c r="G14" s="49">
        <v>19</v>
      </c>
      <c r="H14" s="51">
        <v>10</v>
      </c>
      <c r="I14" s="51">
        <v>10</v>
      </c>
      <c r="J14" s="51">
        <v>10</v>
      </c>
      <c r="K14" s="51">
        <v>10</v>
      </c>
      <c r="L14" s="5"/>
      <c r="M14" s="51">
        <v>10</v>
      </c>
      <c r="N14" s="51">
        <v>10</v>
      </c>
      <c r="O14" s="55">
        <v>0</v>
      </c>
      <c r="P14" s="51">
        <v>10</v>
      </c>
      <c r="Q14" s="51">
        <v>10</v>
      </c>
      <c r="R14" s="51">
        <v>10</v>
      </c>
      <c r="S14" s="52"/>
      <c r="T14" s="51">
        <v>10</v>
      </c>
      <c r="U14" s="51">
        <v>10</v>
      </c>
      <c r="V14" s="51">
        <v>10</v>
      </c>
      <c r="W14" s="51">
        <v>10</v>
      </c>
      <c r="X14" s="51">
        <v>10</v>
      </c>
      <c r="Y14" s="51">
        <v>10</v>
      </c>
      <c r="Z14" s="52"/>
      <c r="AA14" s="51">
        <v>10</v>
      </c>
      <c r="AB14" s="51">
        <v>10</v>
      </c>
      <c r="AC14" s="51">
        <v>10</v>
      </c>
      <c r="AD14" s="51">
        <v>10</v>
      </c>
      <c r="AE14" s="51">
        <v>10</v>
      </c>
      <c r="AF14" s="51">
        <v>10</v>
      </c>
      <c r="AG14" s="52"/>
      <c r="AH14" s="51">
        <v>10</v>
      </c>
      <c r="AI14" s="51">
        <v>10</v>
      </c>
      <c r="AJ14" s="51">
        <v>10</v>
      </c>
      <c r="AK14" s="51">
        <v>10</v>
      </c>
      <c r="AL14" s="56">
        <v>0</v>
      </c>
      <c r="AM14" s="69">
        <f t="shared" si="0"/>
        <v>250</v>
      </c>
      <c r="AN14" s="72">
        <v>2</v>
      </c>
      <c r="AO14" s="71">
        <f t="shared" si="1"/>
        <v>30</v>
      </c>
      <c r="AP14" s="1" t="s">
        <v>92</v>
      </c>
      <c r="AQ14" s="2"/>
      <c r="AR14" s="76">
        <f t="shared" ref="AR14:AR34" si="3">G14*AM14-AO14</f>
        <v>4720</v>
      </c>
    </row>
    <row r="15" spans="1:44" x14ac:dyDescent="0.35">
      <c r="A15" s="10">
        <v>13</v>
      </c>
      <c r="B15" s="17">
        <v>2512006061</v>
      </c>
      <c r="C15" s="18">
        <v>571088456</v>
      </c>
      <c r="D15" s="26" t="s">
        <v>15</v>
      </c>
      <c r="E15" s="47" t="s">
        <v>41</v>
      </c>
      <c r="F15" s="19" t="s">
        <v>10</v>
      </c>
      <c r="G15" s="49">
        <v>19</v>
      </c>
      <c r="H15" s="51">
        <v>10</v>
      </c>
      <c r="I15" s="51">
        <v>10</v>
      </c>
      <c r="J15" s="51">
        <v>10</v>
      </c>
      <c r="K15" s="51">
        <v>10</v>
      </c>
      <c r="L15" s="5"/>
      <c r="M15" s="51">
        <v>10</v>
      </c>
      <c r="N15" s="51">
        <v>10</v>
      </c>
      <c r="O15" s="51">
        <v>10</v>
      </c>
      <c r="P15" s="51">
        <v>0</v>
      </c>
      <c r="Q15" s="51">
        <v>10</v>
      </c>
      <c r="R15" s="51">
        <v>10</v>
      </c>
      <c r="S15" s="52"/>
      <c r="T15" s="51">
        <v>10</v>
      </c>
      <c r="U15" s="51">
        <v>10</v>
      </c>
      <c r="V15" s="54">
        <v>0</v>
      </c>
      <c r="W15" s="54">
        <v>0</v>
      </c>
      <c r="X15" s="54">
        <v>0</v>
      </c>
      <c r="Y15" s="54">
        <v>0</v>
      </c>
      <c r="Z15" s="52"/>
      <c r="AA15" s="54">
        <v>0</v>
      </c>
      <c r="AB15" s="54">
        <v>0</v>
      </c>
      <c r="AC15" s="54">
        <v>0</v>
      </c>
      <c r="AD15" s="54">
        <v>0</v>
      </c>
      <c r="AE15" s="54">
        <v>0</v>
      </c>
      <c r="AF15" s="54">
        <v>0</v>
      </c>
      <c r="AG15" s="52"/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69">
        <f t="shared" si="0"/>
        <v>110</v>
      </c>
      <c r="AN15" s="43"/>
      <c r="AO15" s="73">
        <f t="shared" si="1"/>
        <v>0</v>
      </c>
      <c r="AP15" s="62" t="s">
        <v>94</v>
      </c>
      <c r="AQ15" s="2"/>
      <c r="AR15" s="76">
        <f t="shared" si="3"/>
        <v>2090</v>
      </c>
    </row>
    <row r="16" spans="1:44" x14ac:dyDescent="0.35">
      <c r="A16" s="10">
        <v>14</v>
      </c>
      <c r="B16" s="17">
        <v>2584914788</v>
      </c>
      <c r="C16" s="18">
        <v>566029581</v>
      </c>
      <c r="D16" s="26" t="s">
        <v>16</v>
      </c>
      <c r="E16" s="47" t="s">
        <v>41</v>
      </c>
      <c r="F16" s="19" t="s">
        <v>10</v>
      </c>
      <c r="G16" s="49">
        <v>19</v>
      </c>
      <c r="H16" s="51">
        <v>10</v>
      </c>
      <c r="I16" s="51">
        <v>10</v>
      </c>
      <c r="J16" s="51">
        <v>10</v>
      </c>
      <c r="K16" s="51">
        <v>10</v>
      </c>
      <c r="L16" s="5"/>
      <c r="M16" s="51">
        <v>10</v>
      </c>
      <c r="N16" s="51">
        <v>10</v>
      </c>
      <c r="O16" s="51">
        <v>10</v>
      </c>
      <c r="P16" s="51">
        <v>10</v>
      </c>
      <c r="Q16" s="51">
        <v>10</v>
      </c>
      <c r="R16" s="51">
        <v>10</v>
      </c>
      <c r="S16" s="52"/>
      <c r="T16" s="51">
        <v>10</v>
      </c>
      <c r="U16" s="51">
        <v>10</v>
      </c>
      <c r="V16" s="51">
        <v>10</v>
      </c>
      <c r="W16" s="51">
        <v>10</v>
      </c>
      <c r="X16" s="51">
        <v>10</v>
      </c>
      <c r="Y16" s="51">
        <v>10</v>
      </c>
      <c r="Z16" s="52"/>
      <c r="AA16" s="51">
        <v>10</v>
      </c>
      <c r="AB16" s="51">
        <v>10</v>
      </c>
      <c r="AC16" s="51">
        <v>10</v>
      </c>
      <c r="AD16" s="51">
        <v>10</v>
      </c>
      <c r="AE16" s="51">
        <v>10</v>
      </c>
      <c r="AF16" s="51">
        <v>10</v>
      </c>
      <c r="AG16" s="52"/>
      <c r="AH16" s="51">
        <v>10</v>
      </c>
      <c r="AI16" s="51">
        <v>10</v>
      </c>
      <c r="AJ16" s="51">
        <v>10</v>
      </c>
      <c r="AK16" s="51">
        <v>10</v>
      </c>
      <c r="AL16" s="56">
        <v>0</v>
      </c>
      <c r="AM16" s="69">
        <f t="shared" si="0"/>
        <v>260</v>
      </c>
      <c r="AN16" s="72">
        <v>1</v>
      </c>
      <c r="AO16" s="71">
        <f t="shared" si="1"/>
        <v>15</v>
      </c>
      <c r="AP16" s="1" t="s">
        <v>92</v>
      </c>
      <c r="AQ16" s="2"/>
      <c r="AR16" s="76">
        <f t="shared" si="3"/>
        <v>4925</v>
      </c>
    </row>
    <row r="17" spans="1:44" x14ac:dyDescent="0.35">
      <c r="A17" s="10">
        <v>15</v>
      </c>
      <c r="B17" s="17">
        <v>2511001477</v>
      </c>
      <c r="C17" s="18">
        <v>570175745</v>
      </c>
      <c r="D17" s="26" t="s">
        <v>17</v>
      </c>
      <c r="E17" s="47" t="s">
        <v>41</v>
      </c>
      <c r="F17" s="19" t="s">
        <v>10</v>
      </c>
      <c r="G17" s="49">
        <v>19</v>
      </c>
      <c r="H17" s="51">
        <v>10</v>
      </c>
      <c r="I17" s="51">
        <v>10</v>
      </c>
      <c r="J17" s="51">
        <v>10</v>
      </c>
      <c r="K17" s="55">
        <v>0</v>
      </c>
      <c r="L17" s="5"/>
      <c r="M17" s="51">
        <v>10</v>
      </c>
      <c r="N17" s="51">
        <v>10</v>
      </c>
      <c r="O17" s="51">
        <v>10</v>
      </c>
      <c r="P17" s="51">
        <v>10</v>
      </c>
      <c r="Q17" s="51">
        <v>10</v>
      </c>
      <c r="R17" s="51">
        <v>10</v>
      </c>
      <c r="S17" s="52"/>
      <c r="T17" s="51">
        <v>10</v>
      </c>
      <c r="U17" s="51">
        <v>10</v>
      </c>
      <c r="V17" s="51">
        <v>10</v>
      </c>
      <c r="W17" s="51">
        <v>10</v>
      </c>
      <c r="X17" s="55">
        <v>0</v>
      </c>
      <c r="Y17" s="51">
        <v>10</v>
      </c>
      <c r="Z17" s="52"/>
      <c r="AA17" s="51">
        <v>10</v>
      </c>
      <c r="AB17" s="51">
        <v>10</v>
      </c>
      <c r="AC17" s="51">
        <v>10</v>
      </c>
      <c r="AD17" s="51">
        <v>10</v>
      </c>
      <c r="AE17" s="51">
        <v>10</v>
      </c>
      <c r="AF17" s="51">
        <v>10</v>
      </c>
      <c r="AG17" s="52"/>
      <c r="AH17" s="51">
        <v>10</v>
      </c>
      <c r="AI17" s="51">
        <v>10</v>
      </c>
      <c r="AJ17" s="51">
        <v>10</v>
      </c>
      <c r="AK17" s="51">
        <v>10</v>
      </c>
      <c r="AL17" s="56">
        <v>0</v>
      </c>
      <c r="AM17" s="69">
        <f t="shared" si="0"/>
        <v>240</v>
      </c>
      <c r="AN17" s="72">
        <v>3</v>
      </c>
      <c r="AO17" s="71">
        <f t="shared" si="1"/>
        <v>45</v>
      </c>
      <c r="AP17" s="1" t="s">
        <v>92</v>
      </c>
      <c r="AQ17" s="2"/>
      <c r="AR17" s="76">
        <f t="shared" si="3"/>
        <v>4515</v>
      </c>
    </row>
    <row r="18" spans="1:44" x14ac:dyDescent="0.35">
      <c r="A18" s="10">
        <v>16</v>
      </c>
      <c r="B18" s="17">
        <v>2525961462</v>
      </c>
      <c r="C18" s="18">
        <v>536843762</v>
      </c>
      <c r="D18" s="26" t="s">
        <v>18</v>
      </c>
      <c r="E18" s="47" t="s">
        <v>41</v>
      </c>
      <c r="F18" s="19" t="s">
        <v>10</v>
      </c>
      <c r="G18" s="49">
        <v>19</v>
      </c>
      <c r="H18" s="51">
        <v>10</v>
      </c>
      <c r="I18" s="51">
        <v>10</v>
      </c>
      <c r="J18" s="51">
        <v>10</v>
      </c>
      <c r="K18" s="51">
        <v>10</v>
      </c>
      <c r="L18" s="5"/>
      <c r="M18" s="51">
        <v>10</v>
      </c>
      <c r="N18" s="51">
        <v>10</v>
      </c>
      <c r="O18" s="51">
        <v>10</v>
      </c>
      <c r="P18" s="51">
        <v>10</v>
      </c>
      <c r="Q18" s="51">
        <v>10</v>
      </c>
      <c r="R18" s="51">
        <v>10</v>
      </c>
      <c r="S18" s="52"/>
      <c r="T18" s="51">
        <v>10</v>
      </c>
      <c r="U18" s="51">
        <v>10</v>
      </c>
      <c r="V18" s="54">
        <v>0</v>
      </c>
      <c r="W18" s="54">
        <v>0</v>
      </c>
      <c r="X18" s="54">
        <v>0</v>
      </c>
      <c r="Y18" s="54">
        <v>0</v>
      </c>
      <c r="Z18" s="52"/>
      <c r="AA18" s="54">
        <v>0</v>
      </c>
      <c r="AB18" s="54">
        <v>0</v>
      </c>
      <c r="AC18" s="54">
        <v>0</v>
      </c>
      <c r="AD18" s="54">
        <v>0</v>
      </c>
      <c r="AE18" s="54">
        <v>0</v>
      </c>
      <c r="AF18" s="54">
        <v>0</v>
      </c>
      <c r="AG18" s="52"/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69">
        <f t="shared" si="0"/>
        <v>120</v>
      </c>
      <c r="AN18" s="43"/>
      <c r="AO18" s="73">
        <f t="shared" si="1"/>
        <v>0</v>
      </c>
      <c r="AP18" s="62" t="s">
        <v>94</v>
      </c>
      <c r="AQ18" s="2"/>
      <c r="AR18" s="76">
        <f t="shared" si="3"/>
        <v>2280</v>
      </c>
    </row>
    <row r="19" spans="1:44" x14ac:dyDescent="0.35">
      <c r="A19" s="10">
        <v>17</v>
      </c>
      <c r="B19" s="17">
        <v>2500977513</v>
      </c>
      <c r="C19" s="18">
        <v>507917686</v>
      </c>
      <c r="D19" s="26" t="s">
        <v>19</v>
      </c>
      <c r="E19" s="47" t="s">
        <v>41</v>
      </c>
      <c r="F19" s="19" t="s">
        <v>10</v>
      </c>
      <c r="G19" s="49">
        <v>19</v>
      </c>
      <c r="H19" s="51">
        <v>10</v>
      </c>
      <c r="I19" s="51">
        <v>10</v>
      </c>
      <c r="J19" s="51">
        <v>10</v>
      </c>
      <c r="K19" s="51">
        <v>10</v>
      </c>
      <c r="L19" s="5"/>
      <c r="M19" s="51">
        <v>10</v>
      </c>
      <c r="N19" s="51">
        <v>10</v>
      </c>
      <c r="O19" s="51">
        <v>10</v>
      </c>
      <c r="P19" s="51">
        <v>10</v>
      </c>
      <c r="Q19" s="51">
        <v>10</v>
      </c>
      <c r="R19" s="51">
        <v>10</v>
      </c>
      <c r="S19" s="52"/>
      <c r="T19" s="51">
        <v>10</v>
      </c>
      <c r="U19" s="51">
        <v>10</v>
      </c>
      <c r="V19" s="54">
        <v>0</v>
      </c>
      <c r="W19" s="54">
        <v>0</v>
      </c>
      <c r="X19" s="54">
        <v>0</v>
      </c>
      <c r="Y19" s="54">
        <v>0</v>
      </c>
      <c r="Z19" s="52"/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2"/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69">
        <f t="shared" si="0"/>
        <v>120</v>
      </c>
      <c r="AN19" s="43"/>
      <c r="AO19" s="73">
        <f t="shared" si="1"/>
        <v>0</v>
      </c>
      <c r="AP19" s="62" t="s">
        <v>94</v>
      </c>
      <c r="AQ19" s="2"/>
      <c r="AR19" s="76">
        <f t="shared" si="3"/>
        <v>2280</v>
      </c>
    </row>
    <row r="20" spans="1:44" x14ac:dyDescent="0.35">
      <c r="A20" s="10">
        <v>18</v>
      </c>
      <c r="B20" s="17">
        <v>2396757937</v>
      </c>
      <c r="C20" s="18">
        <v>530188764</v>
      </c>
      <c r="D20" s="26" t="s">
        <v>20</v>
      </c>
      <c r="E20" s="47" t="s">
        <v>41</v>
      </c>
      <c r="F20" s="19" t="s">
        <v>10</v>
      </c>
      <c r="G20" s="49">
        <v>19</v>
      </c>
      <c r="H20" s="51">
        <v>10</v>
      </c>
      <c r="I20" s="51">
        <v>10</v>
      </c>
      <c r="J20" s="51">
        <v>10</v>
      </c>
      <c r="K20" s="51">
        <v>10</v>
      </c>
      <c r="L20" s="5"/>
      <c r="M20" s="51">
        <v>10</v>
      </c>
      <c r="N20" s="51">
        <v>10</v>
      </c>
      <c r="O20" s="51">
        <v>10</v>
      </c>
      <c r="P20" s="51">
        <v>10</v>
      </c>
      <c r="Q20" s="51">
        <v>10</v>
      </c>
      <c r="R20" s="51">
        <v>10</v>
      </c>
      <c r="S20" s="52"/>
      <c r="T20" s="51">
        <v>10</v>
      </c>
      <c r="U20" s="51">
        <v>10</v>
      </c>
      <c r="V20" s="51">
        <v>10</v>
      </c>
      <c r="W20" s="51">
        <v>10</v>
      </c>
      <c r="X20" s="55">
        <v>0</v>
      </c>
      <c r="Y20" s="51">
        <v>10</v>
      </c>
      <c r="Z20" s="52"/>
      <c r="AA20" s="51">
        <v>10</v>
      </c>
      <c r="AB20" s="51">
        <v>10</v>
      </c>
      <c r="AC20" s="51">
        <v>10</v>
      </c>
      <c r="AD20" s="55">
        <v>0</v>
      </c>
      <c r="AE20" s="51">
        <v>10</v>
      </c>
      <c r="AF20" s="51">
        <v>10</v>
      </c>
      <c r="AG20" s="52"/>
      <c r="AH20" s="51">
        <v>10</v>
      </c>
      <c r="AI20" s="51">
        <v>10</v>
      </c>
      <c r="AJ20" s="51">
        <v>10</v>
      </c>
      <c r="AK20" s="51">
        <v>10</v>
      </c>
      <c r="AL20" s="56">
        <v>0</v>
      </c>
      <c r="AM20" s="69">
        <f t="shared" si="0"/>
        <v>240</v>
      </c>
      <c r="AN20" s="72">
        <v>3</v>
      </c>
      <c r="AO20" s="71">
        <f t="shared" si="1"/>
        <v>45</v>
      </c>
      <c r="AP20" s="1" t="s">
        <v>92</v>
      </c>
      <c r="AQ20" s="2"/>
      <c r="AR20" s="76">
        <f t="shared" si="3"/>
        <v>4515</v>
      </c>
    </row>
    <row r="21" spans="1:44" x14ac:dyDescent="0.35">
      <c r="A21" s="10">
        <v>19</v>
      </c>
      <c r="B21" s="17">
        <v>2504414625</v>
      </c>
      <c r="C21" s="18">
        <v>539598043</v>
      </c>
      <c r="D21" s="26" t="s">
        <v>21</v>
      </c>
      <c r="E21" s="47" t="s">
        <v>41</v>
      </c>
      <c r="F21" s="19" t="s">
        <v>10</v>
      </c>
      <c r="G21" s="49">
        <v>19</v>
      </c>
      <c r="H21" s="51">
        <v>10</v>
      </c>
      <c r="I21" s="51">
        <v>10</v>
      </c>
      <c r="J21" s="51">
        <v>10</v>
      </c>
      <c r="K21" s="51">
        <v>10</v>
      </c>
      <c r="L21" s="5"/>
      <c r="M21" s="51">
        <v>10</v>
      </c>
      <c r="N21" s="51">
        <v>10</v>
      </c>
      <c r="O21" s="51">
        <v>10</v>
      </c>
      <c r="P21" s="51">
        <v>10</v>
      </c>
      <c r="Q21" s="51">
        <v>10</v>
      </c>
      <c r="R21" s="51">
        <v>10</v>
      </c>
      <c r="S21" s="52"/>
      <c r="T21" s="55">
        <v>0</v>
      </c>
      <c r="U21" s="51">
        <v>10</v>
      </c>
      <c r="V21" s="51">
        <v>10</v>
      </c>
      <c r="W21" s="51">
        <v>10</v>
      </c>
      <c r="X21" s="51">
        <v>10</v>
      </c>
      <c r="Y21" s="51">
        <v>10</v>
      </c>
      <c r="Z21" s="52"/>
      <c r="AA21" s="51">
        <v>10</v>
      </c>
      <c r="AB21" s="51">
        <v>10</v>
      </c>
      <c r="AC21" s="51">
        <v>10</v>
      </c>
      <c r="AD21" s="51">
        <v>10</v>
      </c>
      <c r="AE21" s="51">
        <v>10</v>
      </c>
      <c r="AF21" s="55">
        <v>0</v>
      </c>
      <c r="AG21" s="52"/>
      <c r="AH21" s="55">
        <v>0</v>
      </c>
      <c r="AI21" s="51">
        <v>10</v>
      </c>
      <c r="AJ21" s="51">
        <v>10</v>
      </c>
      <c r="AK21" s="51">
        <v>10</v>
      </c>
      <c r="AL21" s="56">
        <v>0</v>
      </c>
      <c r="AM21" s="69">
        <f t="shared" si="0"/>
        <v>230</v>
      </c>
      <c r="AN21" s="72">
        <v>4</v>
      </c>
      <c r="AO21" s="71">
        <f t="shared" si="1"/>
        <v>60</v>
      </c>
      <c r="AP21" s="1" t="s">
        <v>92</v>
      </c>
      <c r="AQ21" s="2"/>
      <c r="AR21" s="76">
        <f t="shared" si="3"/>
        <v>4310</v>
      </c>
    </row>
    <row r="22" spans="1:44" x14ac:dyDescent="0.35">
      <c r="A22" s="10">
        <v>20</v>
      </c>
      <c r="B22" s="17">
        <v>2526139098</v>
      </c>
      <c r="C22" s="18">
        <v>538934330</v>
      </c>
      <c r="D22" s="26" t="s">
        <v>22</v>
      </c>
      <c r="E22" s="47" t="s">
        <v>41</v>
      </c>
      <c r="F22" s="19" t="s">
        <v>10</v>
      </c>
      <c r="G22" s="49">
        <v>19</v>
      </c>
      <c r="H22" s="51">
        <v>10</v>
      </c>
      <c r="I22" s="51">
        <v>10</v>
      </c>
      <c r="J22" s="51">
        <v>10</v>
      </c>
      <c r="K22" s="51">
        <v>10</v>
      </c>
      <c r="L22" s="5"/>
      <c r="M22" s="51">
        <v>10</v>
      </c>
      <c r="N22" s="51">
        <v>10</v>
      </c>
      <c r="O22" s="51">
        <v>10</v>
      </c>
      <c r="P22" s="51">
        <v>10</v>
      </c>
      <c r="Q22" s="51">
        <v>10</v>
      </c>
      <c r="R22" s="51">
        <v>10</v>
      </c>
      <c r="S22" s="52"/>
      <c r="T22" s="51">
        <v>10</v>
      </c>
      <c r="U22" s="51">
        <v>10</v>
      </c>
      <c r="V22" s="51">
        <v>10</v>
      </c>
      <c r="W22" s="51">
        <v>10</v>
      </c>
      <c r="X22" s="51">
        <v>10</v>
      </c>
      <c r="Y22" s="51">
        <v>10</v>
      </c>
      <c r="Z22" s="52"/>
      <c r="AA22" s="51">
        <v>10</v>
      </c>
      <c r="AB22" s="51">
        <v>10</v>
      </c>
      <c r="AC22" s="51">
        <v>10</v>
      </c>
      <c r="AD22" s="55">
        <v>0</v>
      </c>
      <c r="AE22" s="51">
        <v>10</v>
      </c>
      <c r="AF22" s="55">
        <v>0</v>
      </c>
      <c r="AG22" s="52"/>
      <c r="AH22" s="51">
        <v>10</v>
      </c>
      <c r="AI22" s="51">
        <v>10</v>
      </c>
      <c r="AJ22" s="55">
        <v>0</v>
      </c>
      <c r="AK22" s="55">
        <v>0</v>
      </c>
      <c r="AL22" s="56">
        <v>0</v>
      </c>
      <c r="AM22" s="69">
        <f t="shared" si="0"/>
        <v>220</v>
      </c>
      <c r="AN22" s="72">
        <v>5</v>
      </c>
      <c r="AO22" s="71">
        <f t="shared" si="1"/>
        <v>75</v>
      </c>
      <c r="AP22" s="1" t="s">
        <v>92</v>
      </c>
      <c r="AQ22" s="2"/>
      <c r="AR22" s="76">
        <f t="shared" si="3"/>
        <v>4105</v>
      </c>
    </row>
    <row r="23" spans="1:44" x14ac:dyDescent="0.35">
      <c r="A23" s="10">
        <v>21</v>
      </c>
      <c r="B23" s="17">
        <v>2499596977</v>
      </c>
      <c r="C23" s="18">
        <v>540861334</v>
      </c>
      <c r="D23" s="26" t="s">
        <v>24</v>
      </c>
      <c r="E23" s="47" t="s">
        <v>41</v>
      </c>
      <c r="F23" s="19" t="s">
        <v>10</v>
      </c>
      <c r="G23" s="49">
        <v>19</v>
      </c>
      <c r="H23" s="51">
        <v>10</v>
      </c>
      <c r="I23" s="55">
        <v>0</v>
      </c>
      <c r="J23" s="51">
        <v>10</v>
      </c>
      <c r="K23" s="51">
        <v>10</v>
      </c>
      <c r="L23" s="5"/>
      <c r="M23" s="51">
        <v>10</v>
      </c>
      <c r="N23" s="51">
        <v>10</v>
      </c>
      <c r="O23" s="51">
        <v>10</v>
      </c>
      <c r="P23" s="51">
        <v>10</v>
      </c>
      <c r="Q23" s="55">
        <v>0</v>
      </c>
      <c r="R23" s="51">
        <v>10</v>
      </c>
      <c r="S23" s="52"/>
      <c r="T23" s="55">
        <v>0</v>
      </c>
      <c r="U23" s="51">
        <v>10</v>
      </c>
      <c r="V23" s="55">
        <v>0</v>
      </c>
      <c r="W23" s="51">
        <v>10</v>
      </c>
      <c r="X23" s="51">
        <v>10</v>
      </c>
      <c r="Y23" s="51">
        <v>10</v>
      </c>
      <c r="Z23" s="52"/>
      <c r="AA23" s="51">
        <v>10</v>
      </c>
      <c r="AB23" s="51">
        <v>10</v>
      </c>
      <c r="AC23" s="51">
        <v>10</v>
      </c>
      <c r="AD23" s="51">
        <v>10</v>
      </c>
      <c r="AE23" s="51">
        <v>10</v>
      </c>
      <c r="AF23" s="51">
        <v>10</v>
      </c>
      <c r="AG23" s="52"/>
      <c r="AH23" s="51">
        <v>10</v>
      </c>
      <c r="AI23" s="51">
        <v>10</v>
      </c>
      <c r="AJ23" s="51">
        <v>10</v>
      </c>
      <c r="AK23" s="51">
        <v>10</v>
      </c>
      <c r="AL23" s="56">
        <v>0</v>
      </c>
      <c r="AM23" s="69">
        <f t="shared" si="0"/>
        <v>220</v>
      </c>
      <c r="AN23" s="72">
        <v>5</v>
      </c>
      <c r="AO23" s="71">
        <f t="shared" si="1"/>
        <v>75</v>
      </c>
      <c r="AP23" s="1" t="s">
        <v>92</v>
      </c>
      <c r="AQ23" s="2"/>
      <c r="AR23" s="76">
        <f t="shared" si="3"/>
        <v>4105</v>
      </c>
    </row>
    <row r="24" spans="1:44" x14ac:dyDescent="0.35">
      <c r="A24" s="10">
        <v>22</v>
      </c>
      <c r="B24" s="17">
        <v>2588969063</v>
      </c>
      <c r="C24" s="18">
        <v>573885688</v>
      </c>
      <c r="D24" s="26" t="s">
        <v>25</v>
      </c>
      <c r="E24" s="47" t="s">
        <v>41</v>
      </c>
      <c r="F24" s="19" t="s">
        <v>10</v>
      </c>
      <c r="G24" s="49">
        <v>19</v>
      </c>
      <c r="H24" s="51">
        <v>10</v>
      </c>
      <c r="I24" s="51">
        <v>10</v>
      </c>
      <c r="J24" s="51">
        <v>10</v>
      </c>
      <c r="K24" s="51">
        <v>10</v>
      </c>
      <c r="L24" s="5"/>
      <c r="M24" s="51">
        <v>10</v>
      </c>
      <c r="N24" s="51">
        <v>10</v>
      </c>
      <c r="O24" s="51">
        <v>10</v>
      </c>
      <c r="P24" s="51">
        <v>10</v>
      </c>
      <c r="Q24" s="51">
        <v>10</v>
      </c>
      <c r="R24" s="51">
        <v>10</v>
      </c>
      <c r="S24" s="52"/>
      <c r="T24" s="51">
        <v>10</v>
      </c>
      <c r="U24" s="51">
        <v>10</v>
      </c>
      <c r="V24" s="51">
        <v>10</v>
      </c>
      <c r="W24" s="51">
        <v>10</v>
      </c>
      <c r="X24" s="51">
        <v>10</v>
      </c>
      <c r="Y24" s="51">
        <v>10</v>
      </c>
      <c r="Z24" s="52"/>
      <c r="AA24" s="51">
        <v>10</v>
      </c>
      <c r="AB24" s="51">
        <v>10</v>
      </c>
      <c r="AC24" s="51">
        <v>10</v>
      </c>
      <c r="AD24" s="51">
        <v>10</v>
      </c>
      <c r="AE24" s="51">
        <v>10</v>
      </c>
      <c r="AF24" s="51">
        <v>10</v>
      </c>
      <c r="AG24" s="52"/>
      <c r="AH24" s="51">
        <v>10</v>
      </c>
      <c r="AI24" s="51">
        <v>10</v>
      </c>
      <c r="AJ24" s="51">
        <v>10</v>
      </c>
      <c r="AK24" s="51">
        <v>10</v>
      </c>
      <c r="AL24" s="56">
        <v>0</v>
      </c>
      <c r="AM24" s="69">
        <f t="shared" si="0"/>
        <v>260</v>
      </c>
      <c r="AN24" s="72">
        <v>1</v>
      </c>
      <c r="AO24" s="71">
        <f t="shared" si="1"/>
        <v>15</v>
      </c>
      <c r="AP24" s="1" t="s">
        <v>92</v>
      </c>
      <c r="AQ24" s="2"/>
      <c r="AR24" s="76">
        <f t="shared" si="3"/>
        <v>4925</v>
      </c>
    </row>
    <row r="25" spans="1:44" x14ac:dyDescent="0.35">
      <c r="A25" s="10">
        <v>23</v>
      </c>
      <c r="B25" s="17">
        <v>2531566731</v>
      </c>
      <c r="C25" s="18">
        <v>553562408</v>
      </c>
      <c r="D25" s="26" t="s">
        <v>26</v>
      </c>
      <c r="E25" s="47" t="s">
        <v>41</v>
      </c>
      <c r="F25" s="19" t="s">
        <v>10</v>
      </c>
      <c r="G25" s="49">
        <v>19</v>
      </c>
      <c r="H25" s="51">
        <v>10</v>
      </c>
      <c r="I25" s="51">
        <v>10</v>
      </c>
      <c r="J25" s="51">
        <v>10</v>
      </c>
      <c r="K25" s="51">
        <v>10</v>
      </c>
      <c r="L25" s="5"/>
      <c r="M25" s="51">
        <v>10</v>
      </c>
      <c r="N25" s="51">
        <v>10</v>
      </c>
      <c r="O25" s="51">
        <v>10</v>
      </c>
      <c r="P25" s="51">
        <v>10</v>
      </c>
      <c r="Q25" s="51">
        <v>10</v>
      </c>
      <c r="R25" s="51">
        <v>10</v>
      </c>
      <c r="S25" s="52"/>
      <c r="T25" s="51">
        <v>10</v>
      </c>
      <c r="U25" s="51">
        <v>10</v>
      </c>
      <c r="V25" s="55">
        <v>0</v>
      </c>
      <c r="W25" s="51">
        <v>10</v>
      </c>
      <c r="X25" s="51">
        <v>10</v>
      </c>
      <c r="Y25" s="51">
        <v>10</v>
      </c>
      <c r="Z25" s="52"/>
      <c r="AA25" s="51">
        <v>10</v>
      </c>
      <c r="AB25" s="51">
        <v>10</v>
      </c>
      <c r="AC25" s="51">
        <v>10</v>
      </c>
      <c r="AD25" s="51">
        <v>10</v>
      </c>
      <c r="AE25" s="51">
        <v>10</v>
      </c>
      <c r="AF25" s="51">
        <v>10</v>
      </c>
      <c r="AG25" s="52"/>
      <c r="AH25" s="51">
        <v>10</v>
      </c>
      <c r="AI25" s="51">
        <v>10</v>
      </c>
      <c r="AJ25" s="51">
        <v>10</v>
      </c>
      <c r="AK25" s="51">
        <v>10</v>
      </c>
      <c r="AL25" s="56">
        <v>0</v>
      </c>
      <c r="AM25" s="69">
        <f t="shared" si="0"/>
        <v>250</v>
      </c>
      <c r="AN25" s="72">
        <v>2</v>
      </c>
      <c r="AO25" s="71">
        <f t="shared" si="1"/>
        <v>30</v>
      </c>
      <c r="AP25" s="1" t="s">
        <v>92</v>
      </c>
      <c r="AQ25" s="2"/>
      <c r="AR25" s="76">
        <f t="shared" si="3"/>
        <v>4720</v>
      </c>
    </row>
    <row r="26" spans="1:44" x14ac:dyDescent="0.35">
      <c r="A26" s="10">
        <v>24</v>
      </c>
      <c r="B26" s="17">
        <v>2596006599</v>
      </c>
      <c r="C26" s="18">
        <v>558705348</v>
      </c>
      <c r="D26" s="26" t="s">
        <v>28</v>
      </c>
      <c r="E26" s="47" t="s">
        <v>41</v>
      </c>
      <c r="F26" s="19" t="s">
        <v>10</v>
      </c>
      <c r="G26" s="49">
        <v>19</v>
      </c>
      <c r="H26" s="51">
        <v>10</v>
      </c>
      <c r="I26" s="51">
        <v>10</v>
      </c>
      <c r="J26" s="51">
        <v>10</v>
      </c>
      <c r="K26" s="51">
        <v>10</v>
      </c>
      <c r="L26" s="5"/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2"/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5">
        <v>0</v>
      </c>
      <c r="Z26" s="52"/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2"/>
      <c r="AH26" s="51">
        <v>10</v>
      </c>
      <c r="AI26" s="51">
        <v>10</v>
      </c>
      <c r="AJ26" s="51">
        <v>10</v>
      </c>
      <c r="AK26" s="51">
        <v>10</v>
      </c>
      <c r="AL26" s="56">
        <v>0</v>
      </c>
      <c r="AM26" s="69">
        <f t="shared" si="0"/>
        <v>250</v>
      </c>
      <c r="AN26" s="72">
        <v>2</v>
      </c>
      <c r="AO26" s="71">
        <f t="shared" si="1"/>
        <v>30</v>
      </c>
      <c r="AP26" s="1" t="s">
        <v>92</v>
      </c>
      <c r="AQ26" s="2"/>
      <c r="AR26" s="76">
        <f t="shared" si="3"/>
        <v>4720</v>
      </c>
    </row>
    <row r="27" spans="1:44" x14ac:dyDescent="0.35">
      <c r="A27" s="10">
        <v>25</v>
      </c>
      <c r="B27" s="17">
        <v>2169490030</v>
      </c>
      <c r="C27" s="18">
        <v>534740787</v>
      </c>
      <c r="D27" s="26" t="s">
        <v>29</v>
      </c>
      <c r="E27" s="47" t="s">
        <v>41</v>
      </c>
      <c r="F27" s="19" t="s">
        <v>10</v>
      </c>
      <c r="G27" s="49">
        <v>19</v>
      </c>
      <c r="H27" s="51">
        <v>10</v>
      </c>
      <c r="I27" s="51">
        <v>10</v>
      </c>
      <c r="J27" s="51">
        <v>10</v>
      </c>
      <c r="K27" s="51">
        <v>10</v>
      </c>
      <c r="L27" s="5"/>
      <c r="M27" s="51">
        <v>10</v>
      </c>
      <c r="N27" s="51">
        <v>10</v>
      </c>
      <c r="O27" s="51">
        <v>10</v>
      </c>
      <c r="P27" s="51">
        <v>10</v>
      </c>
      <c r="Q27" s="51">
        <v>10</v>
      </c>
      <c r="R27" s="51">
        <v>10</v>
      </c>
      <c r="S27" s="52"/>
      <c r="T27" s="51">
        <v>10</v>
      </c>
      <c r="U27" s="51">
        <v>10</v>
      </c>
      <c r="V27" s="51">
        <v>10</v>
      </c>
      <c r="W27" s="51">
        <v>10</v>
      </c>
      <c r="X27" s="51">
        <v>10</v>
      </c>
      <c r="Y27" s="51">
        <v>10</v>
      </c>
      <c r="Z27" s="52"/>
      <c r="AA27" s="51">
        <v>10</v>
      </c>
      <c r="AB27" s="51">
        <v>10</v>
      </c>
      <c r="AC27" s="51">
        <v>10</v>
      </c>
      <c r="AD27" s="51">
        <v>10</v>
      </c>
      <c r="AE27" s="51">
        <v>10</v>
      </c>
      <c r="AF27" s="51">
        <v>10</v>
      </c>
      <c r="AG27" s="52"/>
      <c r="AH27" s="51">
        <v>10</v>
      </c>
      <c r="AI27" s="51">
        <v>10</v>
      </c>
      <c r="AJ27" s="51">
        <v>10</v>
      </c>
      <c r="AK27" s="51">
        <v>10</v>
      </c>
      <c r="AL27" s="56">
        <v>0</v>
      </c>
      <c r="AM27" s="69">
        <f t="shared" si="0"/>
        <v>260</v>
      </c>
      <c r="AN27" s="72">
        <v>1</v>
      </c>
      <c r="AO27" s="71">
        <f t="shared" si="1"/>
        <v>15</v>
      </c>
      <c r="AP27" s="1" t="s">
        <v>92</v>
      </c>
      <c r="AQ27" s="2"/>
      <c r="AR27" s="76">
        <f t="shared" si="3"/>
        <v>4925</v>
      </c>
    </row>
    <row r="28" spans="1:44" x14ac:dyDescent="0.35">
      <c r="A28" s="10">
        <v>26</v>
      </c>
      <c r="B28" s="17">
        <v>2570432365</v>
      </c>
      <c r="C28" s="18">
        <v>534356929</v>
      </c>
      <c r="D28" s="26" t="s">
        <v>30</v>
      </c>
      <c r="E28" s="47" t="s">
        <v>41</v>
      </c>
      <c r="F28" s="19" t="s">
        <v>10</v>
      </c>
      <c r="G28" s="49">
        <v>19</v>
      </c>
      <c r="H28" s="51">
        <v>10</v>
      </c>
      <c r="I28" s="51">
        <v>10</v>
      </c>
      <c r="J28" s="51">
        <v>10</v>
      </c>
      <c r="K28" s="51">
        <v>10</v>
      </c>
      <c r="L28" s="5"/>
      <c r="M28" s="51">
        <v>10</v>
      </c>
      <c r="N28" s="51">
        <v>10</v>
      </c>
      <c r="O28" s="51">
        <v>10</v>
      </c>
      <c r="P28" s="51">
        <v>10</v>
      </c>
      <c r="Q28" s="51">
        <v>10</v>
      </c>
      <c r="R28" s="51">
        <v>10</v>
      </c>
      <c r="S28" s="52"/>
      <c r="T28" s="51">
        <v>10</v>
      </c>
      <c r="U28" s="51">
        <v>10</v>
      </c>
      <c r="V28" s="51">
        <v>10</v>
      </c>
      <c r="W28" s="51">
        <v>10</v>
      </c>
      <c r="X28" s="51">
        <v>10</v>
      </c>
      <c r="Y28" s="51">
        <v>10</v>
      </c>
      <c r="Z28" s="52"/>
      <c r="AA28" s="55">
        <v>0</v>
      </c>
      <c r="AB28" s="55">
        <v>0</v>
      </c>
      <c r="AC28" s="51">
        <v>10</v>
      </c>
      <c r="AD28" s="51">
        <v>10</v>
      </c>
      <c r="AE28" s="51">
        <v>10</v>
      </c>
      <c r="AF28" s="51">
        <v>10</v>
      </c>
      <c r="AG28" s="52"/>
      <c r="AH28" s="51">
        <v>10</v>
      </c>
      <c r="AI28" s="51">
        <v>10</v>
      </c>
      <c r="AJ28" s="51">
        <v>10</v>
      </c>
      <c r="AK28" s="51">
        <v>10</v>
      </c>
      <c r="AL28" s="56">
        <v>0</v>
      </c>
      <c r="AM28" s="69">
        <f t="shared" si="0"/>
        <v>240</v>
      </c>
      <c r="AN28" s="72">
        <v>3</v>
      </c>
      <c r="AO28" s="71">
        <f t="shared" si="1"/>
        <v>45</v>
      </c>
      <c r="AP28" s="1" t="s">
        <v>92</v>
      </c>
      <c r="AQ28" s="2"/>
      <c r="AR28" s="76">
        <f t="shared" si="3"/>
        <v>4515</v>
      </c>
    </row>
    <row r="29" spans="1:44" x14ac:dyDescent="0.35">
      <c r="A29" s="10">
        <v>27</v>
      </c>
      <c r="B29" s="17">
        <v>2594681823</v>
      </c>
      <c r="C29" s="18">
        <v>556322097</v>
      </c>
      <c r="D29" s="26" t="s">
        <v>32</v>
      </c>
      <c r="E29" s="47" t="s">
        <v>41</v>
      </c>
      <c r="F29" s="19" t="s">
        <v>10</v>
      </c>
      <c r="G29" s="49">
        <v>19</v>
      </c>
      <c r="H29" s="51">
        <v>10</v>
      </c>
      <c r="I29" s="51">
        <v>10</v>
      </c>
      <c r="J29" s="51">
        <v>10</v>
      </c>
      <c r="K29" s="51">
        <v>10</v>
      </c>
      <c r="L29" s="5"/>
      <c r="M29" s="51">
        <v>10</v>
      </c>
      <c r="N29" s="51">
        <v>10</v>
      </c>
      <c r="O29" s="51">
        <v>10</v>
      </c>
      <c r="P29" s="51">
        <v>10</v>
      </c>
      <c r="Q29" s="51">
        <v>10</v>
      </c>
      <c r="R29" s="51">
        <v>10</v>
      </c>
      <c r="S29" s="52"/>
      <c r="T29" s="51">
        <v>10</v>
      </c>
      <c r="U29" s="51">
        <v>10</v>
      </c>
      <c r="V29" s="51">
        <v>10</v>
      </c>
      <c r="W29" s="51">
        <v>10</v>
      </c>
      <c r="X29" s="51">
        <v>10</v>
      </c>
      <c r="Y29" s="51">
        <v>10</v>
      </c>
      <c r="Z29" s="52"/>
      <c r="AA29" s="55">
        <v>0</v>
      </c>
      <c r="AB29" s="51">
        <v>10</v>
      </c>
      <c r="AC29" s="51">
        <v>10</v>
      </c>
      <c r="AD29" s="51">
        <v>10</v>
      </c>
      <c r="AE29" s="51">
        <v>10</v>
      </c>
      <c r="AF29" s="51">
        <v>10</v>
      </c>
      <c r="AG29" s="52"/>
      <c r="AH29" s="51">
        <v>10</v>
      </c>
      <c r="AI29" s="51">
        <v>10</v>
      </c>
      <c r="AJ29" s="51">
        <v>10</v>
      </c>
      <c r="AK29" s="51">
        <v>10</v>
      </c>
      <c r="AL29" s="56">
        <v>0</v>
      </c>
      <c r="AM29" s="69">
        <f t="shared" si="0"/>
        <v>250</v>
      </c>
      <c r="AN29" s="72">
        <v>2</v>
      </c>
      <c r="AO29" s="71">
        <f t="shared" si="1"/>
        <v>30</v>
      </c>
      <c r="AP29" s="1" t="s">
        <v>92</v>
      </c>
      <c r="AQ29" s="2"/>
      <c r="AR29" s="76">
        <f t="shared" si="3"/>
        <v>4720</v>
      </c>
    </row>
    <row r="30" spans="1:44" x14ac:dyDescent="0.35">
      <c r="A30" s="10">
        <v>28</v>
      </c>
      <c r="B30" s="17">
        <v>2509587297</v>
      </c>
      <c r="C30" s="18">
        <v>564649279</v>
      </c>
      <c r="D30" s="26" t="s">
        <v>33</v>
      </c>
      <c r="E30" s="47" t="s">
        <v>41</v>
      </c>
      <c r="F30" s="19" t="s">
        <v>10</v>
      </c>
      <c r="G30" s="49">
        <v>19</v>
      </c>
      <c r="H30" s="51">
        <v>10</v>
      </c>
      <c r="I30" s="51">
        <v>10</v>
      </c>
      <c r="J30" s="51">
        <v>10</v>
      </c>
      <c r="K30" s="55">
        <v>0</v>
      </c>
      <c r="L30" s="5"/>
      <c r="M30" s="51">
        <v>10</v>
      </c>
      <c r="N30" s="51">
        <v>10</v>
      </c>
      <c r="O30" s="51">
        <v>10</v>
      </c>
      <c r="P30" s="51">
        <v>10</v>
      </c>
      <c r="Q30" s="51">
        <v>10</v>
      </c>
      <c r="R30" s="55">
        <v>0</v>
      </c>
      <c r="S30" s="52"/>
      <c r="T30" s="51">
        <v>10</v>
      </c>
      <c r="U30" s="51">
        <v>10</v>
      </c>
      <c r="V30" s="51">
        <v>10</v>
      </c>
      <c r="W30" s="51">
        <v>10</v>
      </c>
      <c r="X30" s="51">
        <v>10</v>
      </c>
      <c r="Y30" s="51">
        <v>10</v>
      </c>
      <c r="Z30" s="52"/>
      <c r="AA30" s="51">
        <v>10</v>
      </c>
      <c r="AB30" s="51">
        <v>10</v>
      </c>
      <c r="AC30" s="51">
        <v>10</v>
      </c>
      <c r="AD30" s="51">
        <v>10</v>
      </c>
      <c r="AE30" s="51">
        <v>10</v>
      </c>
      <c r="AF30" s="51">
        <v>10</v>
      </c>
      <c r="AG30" s="52"/>
      <c r="AH30" s="51">
        <v>10</v>
      </c>
      <c r="AI30" s="51">
        <v>10</v>
      </c>
      <c r="AJ30" s="51">
        <v>10</v>
      </c>
      <c r="AK30" s="51">
        <v>10</v>
      </c>
      <c r="AL30" s="56">
        <v>0</v>
      </c>
      <c r="AM30" s="69">
        <f t="shared" si="0"/>
        <v>240</v>
      </c>
      <c r="AN30" s="72">
        <v>3</v>
      </c>
      <c r="AO30" s="71">
        <f t="shared" si="1"/>
        <v>45</v>
      </c>
      <c r="AP30" s="1" t="s">
        <v>92</v>
      </c>
      <c r="AQ30" s="2"/>
      <c r="AR30" s="76">
        <f t="shared" si="3"/>
        <v>4515</v>
      </c>
    </row>
    <row r="31" spans="1:44" x14ac:dyDescent="0.35">
      <c r="A31" s="10">
        <v>29</v>
      </c>
      <c r="B31" s="17">
        <v>2620603791</v>
      </c>
      <c r="C31" s="18">
        <v>553026447</v>
      </c>
      <c r="D31" s="26" t="s">
        <v>34</v>
      </c>
      <c r="E31" s="47" t="s">
        <v>41</v>
      </c>
      <c r="F31" s="19" t="s">
        <v>10</v>
      </c>
      <c r="G31" s="49">
        <v>19</v>
      </c>
      <c r="H31" s="51">
        <v>10</v>
      </c>
      <c r="I31" s="51">
        <v>10</v>
      </c>
      <c r="J31" s="51">
        <v>10</v>
      </c>
      <c r="K31" s="51">
        <v>10</v>
      </c>
      <c r="L31" s="5"/>
      <c r="M31" s="51">
        <v>10</v>
      </c>
      <c r="N31" s="51">
        <v>10</v>
      </c>
      <c r="O31" s="51">
        <v>10</v>
      </c>
      <c r="P31" s="51">
        <v>10</v>
      </c>
      <c r="Q31" s="51">
        <v>10</v>
      </c>
      <c r="R31" s="51">
        <v>10</v>
      </c>
      <c r="S31" s="52"/>
      <c r="T31" s="51">
        <v>10</v>
      </c>
      <c r="U31" s="51">
        <v>10</v>
      </c>
      <c r="V31" s="51">
        <v>10</v>
      </c>
      <c r="W31" s="51">
        <v>10</v>
      </c>
      <c r="X31" s="51">
        <v>10</v>
      </c>
      <c r="Y31" s="51">
        <v>10</v>
      </c>
      <c r="Z31" s="52"/>
      <c r="AA31" s="51">
        <v>10</v>
      </c>
      <c r="AB31" s="51">
        <v>10</v>
      </c>
      <c r="AC31" s="51">
        <v>10</v>
      </c>
      <c r="AD31" s="51">
        <v>10</v>
      </c>
      <c r="AE31" s="51">
        <v>10</v>
      </c>
      <c r="AF31" s="51">
        <v>10</v>
      </c>
      <c r="AG31" s="52"/>
      <c r="AH31" s="51">
        <v>10</v>
      </c>
      <c r="AI31" s="51">
        <v>10</v>
      </c>
      <c r="AJ31" s="51">
        <v>10</v>
      </c>
      <c r="AK31" s="51">
        <v>10</v>
      </c>
      <c r="AL31" s="56">
        <v>0</v>
      </c>
      <c r="AM31" s="69">
        <f t="shared" si="0"/>
        <v>260</v>
      </c>
      <c r="AN31" s="72">
        <v>1</v>
      </c>
      <c r="AO31" s="71">
        <f t="shared" si="1"/>
        <v>15</v>
      </c>
      <c r="AP31" s="1" t="s">
        <v>92</v>
      </c>
      <c r="AQ31" s="2"/>
      <c r="AR31" s="76">
        <f t="shared" si="3"/>
        <v>4925</v>
      </c>
    </row>
    <row r="32" spans="1:44" x14ac:dyDescent="0.35">
      <c r="A32" s="10">
        <v>30</v>
      </c>
      <c r="B32" s="17">
        <v>2620685533</v>
      </c>
      <c r="C32" s="18">
        <v>538186489</v>
      </c>
      <c r="D32" s="26" t="s">
        <v>35</v>
      </c>
      <c r="E32" s="47" t="s">
        <v>41</v>
      </c>
      <c r="F32" s="19" t="s">
        <v>10</v>
      </c>
      <c r="G32" s="49">
        <v>19</v>
      </c>
      <c r="H32" s="51">
        <v>10</v>
      </c>
      <c r="I32" s="51">
        <v>10</v>
      </c>
      <c r="J32" s="51">
        <v>10</v>
      </c>
      <c r="K32" s="51">
        <v>10</v>
      </c>
      <c r="L32" s="5"/>
      <c r="M32" s="51">
        <v>10</v>
      </c>
      <c r="N32" s="51">
        <v>10</v>
      </c>
      <c r="O32" s="51">
        <v>10</v>
      </c>
      <c r="P32" s="51">
        <v>10</v>
      </c>
      <c r="Q32" s="51">
        <v>10</v>
      </c>
      <c r="R32" s="51">
        <v>10</v>
      </c>
      <c r="S32" s="52"/>
      <c r="T32" s="51">
        <v>10</v>
      </c>
      <c r="U32" s="51">
        <v>10</v>
      </c>
      <c r="V32" s="51">
        <v>10</v>
      </c>
      <c r="W32" s="51">
        <v>10</v>
      </c>
      <c r="X32" s="51">
        <v>10</v>
      </c>
      <c r="Y32" s="51">
        <v>10</v>
      </c>
      <c r="Z32" s="52"/>
      <c r="AA32" s="51">
        <v>10</v>
      </c>
      <c r="AB32" s="51">
        <v>10</v>
      </c>
      <c r="AC32" s="51">
        <v>10</v>
      </c>
      <c r="AD32" s="51">
        <v>10</v>
      </c>
      <c r="AE32" s="51">
        <v>10</v>
      </c>
      <c r="AF32" s="51">
        <v>10</v>
      </c>
      <c r="AG32" s="52"/>
      <c r="AH32" s="51">
        <v>10</v>
      </c>
      <c r="AI32" s="51">
        <v>10</v>
      </c>
      <c r="AJ32" s="51">
        <v>10</v>
      </c>
      <c r="AK32" s="51">
        <v>10</v>
      </c>
      <c r="AL32" s="56">
        <v>0</v>
      </c>
      <c r="AM32" s="69">
        <f t="shared" si="0"/>
        <v>260</v>
      </c>
      <c r="AN32" s="72">
        <v>1</v>
      </c>
      <c r="AO32" s="71">
        <f t="shared" si="1"/>
        <v>15</v>
      </c>
      <c r="AP32" s="1" t="s">
        <v>92</v>
      </c>
      <c r="AQ32" s="2"/>
      <c r="AR32" s="76">
        <f t="shared" si="3"/>
        <v>4925</v>
      </c>
    </row>
    <row r="33" spans="1:44" x14ac:dyDescent="0.35">
      <c r="A33" s="10">
        <v>31</v>
      </c>
      <c r="B33" s="17">
        <v>2604940318</v>
      </c>
      <c r="C33" s="18">
        <v>552689742</v>
      </c>
      <c r="D33" s="26" t="s">
        <v>36</v>
      </c>
      <c r="E33" s="47" t="s">
        <v>41</v>
      </c>
      <c r="F33" s="19" t="s">
        <v>10</v>
      </c>
      <c r="G33" s="49">
        <v>19</v>
      </c>
      <c r="H33" s="51">
        <v>10</v>
      </c>
      <c r="I33" s="51">
        <v>10</v>
      </c>
      <c r="J33" s="51">
        <v>10</v>
      </c>
      <c r="K33" s="51">
        <v>10</v>
      </c>
      <c r="L33" s="5"/>
      <c r="M33" s="51">
        <v>10</v>
      </c>
      <c r="N33" s="51">
        <v>10</v>
      </c>
      <c r="O33" s="51">
        <v>10</v>
      </c>
      <c r="P33" s="51">
        <v>10</v>
      </c>
      <c r="Q33" s="51">
        <v>10</v>
      </c>
      <c r="R33" s="55">
        <v>0</v>
      </c>
      <c r="S33" s="52"/>
      <c r="T33" s="51">
        <v>10</v>
      </c>
      <c r="U33" s="51">
        <v>10</v>
      </c>
      <c r="V33" s="51">
        <v>10</v>
      </c>
      <c r="W33" s="51">
        <v>10</v>
      </c>
      <c r="X33" s="51">
        <v>10</v>
      </c>
      <c r="Y33" s="51">
        <v>10</v>
      </c>
      <c r="Z33" s="52"/>
      <c r="AA33" s="51">
        <v>10</v>
      </c>
      <c r="AB33" s="51">
        <v>10</v>
      </c>
      <c r="AC33" s="51">
        <v>10</v>
      </c>
      <c r="AD33" s="51">
        <v>10</v>
      </c>
      <c r="AE33" s="51">
        <v>10</v>
      </c>
      <c r="AF33" s="51">
        <v>10</v>
      </c>
      <c r="AG33" s="52"/>
      <c r="AH33" s="51">
        <v>10</v>
      </c>
      <c r="AI33" s="51">
        <v>10</v>
      </c>
      <c r="AJ33" s="51">
        <v>10</v>
      </c>
      <c r="AK33" s="51">
        <v>10</v>
      </c>
      <c r="AL33" s="56">
        <v>0</v>
      </c>
      <c r="AM33" s="69">
        <f t="shared" si="0"/>
        <v>250</v>
      </c>
      <c r="AN33" s="72">
        <v>2</v>
      </c>
      <c r="AO33" s="71">
        <f t="shared" si="1"/>
        <v>30</v>
      </c>
      <c r="AP33" s="1" t="s">
        <v>92</v>
      </c>
      <c r="AQ33" s="2"/>
      <c r="AR33" s="76">
        <f t="shared" si="3"/>
        <v>4720</v>
      </c>
    </row>
    <row r="34" spans="1:44" x14ac:dyDescent="0.35">
      <c r="A34" s="10">
        <v>32</v>
      </c>
      <c r="B34" s="17">
        <v>2602457752</v>
      </c>
      <c r="C34" s="18">
        <v>559563029</v>
      </c>
      <c r="D34" s="26" t="s">
        <v>37</v>
      </c>
      <c r="E34" s="47" t="s">
        <v>41</v>
      </c>
      <c r="F34" s="19" t="s">
        <v>10</v>
      </c>
      <c r="G34" s="49">
        <v>19</v>
      </c>
      <c r="H34" s="51">
        <v>10</v>
      </c>
      <c r="I34" s="51">
        <v>10</v>
      </c>
      <c r="J34" s="51">
        <v>10</v>
      </c>
      <c r="K34" s="51">
        <v>10</v>
      </c>
      <c r="L34" s="5"/>
      <c r="M34" s="51">
        <v>10</v>
      </c>
      <c r="N34" s="51">
        <v>10</v>
      </c>
      <c r="O34" s="51">
        <v>10</v>
      </c>
      <c r="P34" s="51">
        <v>10</v>
      </c>
      <c r="Q34" s="51">
        <v>10</v>
      </c>
      <c r="R34" s="55">
        <v>0</v>
      </c>
      <c r="S34" s="52"/>
      <c r="T34" s="51">
        <v>10</v>
      </c>
      <c r="U34" s="51">
        <v>10</v>
      </c>
      <c r="V34" s="51">
        <v>10</v>
      </c>
      <c r="W34" s="51">
        <v>10</v>
      </c>
      <c r="X34" s="51">
        <v>10</v>
      </c>
      <c r="Y34" s="51">
        <v>10</v>
      </c>
      <c r="Z34" s="52"/>
      <c r="AA34" s="51">
        <v>10</v>
      </c>
      <c r="AB34" s="51">
        <v>10</v>
      </c>
      <c r="AC34" s="51">
        <v>10</v>
      </c>
      <c r="AD34" s="51">
        <v>10</v>
      </c>
      <c r="AE34" s="51">
        <v>10</v>
      </c>
      <c r="AF34" s="51">
        <v>10</v>
      </c>
      <c r="AG34" s="52"/>
      <c r="AH34" s="51">
        <v>10</v>
      </c>
      <c r="AI34" s="51">
        <v>10</v>
      </c>
      <c r="AJ34" s="51">
        <v>10</v>
      </c>
      <c r="AK34" s="51">
        <v>10</v>
      </c>
      <c r="AL34" s="56">
        <v>0</v>
      </c>
      <c r="AM34" s="69">
        <f t="shared" si="0"/>
        <v>250</v>
      </c>
      <c r="AN34" s="72">
        <v>2</v>
      </c>
      <c r="AO34" s="71">
        <f t="shared" si="1"/>
        <v>30</v>
      </c>
      <c r="AP34" s="1" t="s">
        <v>92</v>
      </c>
      <c r="AQ34" s="2"/>
      <c r="AR34" s="76">
        <f t="shared" si="3"/>
        <v>4720</v>
      </c>
    </row>
    <row r="35" spans="1:44" ht="30" customHeight="1" x14ac:dyDescent="0.35">
      <c r="AM35" s="60">
        <f>SUM(AM3:AM34)</f>
        <v>6450</v>
      </c>
      <c r="AN35" s="74"/>
      <c r="AO35" s="74"/>
      <c r="AR35" s="61">
        <f>SUM(AR3:AR34)</f>
        <v>131610</v>
      </c>
    </row>
    <row r="36" spans="1:44" x14ac:dyDescent="0.35">
      <c r="A36" s="99" t="s">
        <v>95</v>
      </c>
      <c r="B36" s="100"/>
    </row>
    <row r="37" spans="1:44" ht="23" customHeight="1" x14ac:dyDescent="0.35">
      <c r="A37" s="63">
        <v>1</v>
      </c>
      <c r="B37" s="101" t="s">
        <v>96</v>
      </c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3"/>
      <c r="AM37" s="63"/>
      <c r="AN37" s="63"/>
      <c r="AO37" s="63"/>
      <c r="AP37" s="63"/>
      <c r="AQ37" s="63"/>
      <c r="AR37" s="77">
        <v>-190</v>
      </c>
    </row>
    <row r="38" spans="1:44" ht="25.5" customHeight="1" x14ac:dyDescent="0.35">
      <c r="A38" s="63">
        <v>2</v>
      </c>
      <c r="B38" s="101" t="s">
        <v>99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3"/>
      <c r="AM38" s="63"/>
      <c r="AN38" s="63"/>
      <c r="AO38" s="63"/>
      <c r="AP38" s="63"/>
      <c r="AQ38" s="63"/>
      <c r="AR38" s="77">
        <f>-26*300-100</f>
        <v>-7900</v>
      </c>
    </row>
    <row r="39" spans="1:44" ht="25.5" customHeight="1" x14ac:dyDescent="0.35">
      <c r="A39" s="64"/>
      <c r="B39" s="96" t="s">
        <v>97</v>
      </c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8"/>
      <c r="AM39" s="64"/>
      <c r="AN39" s="64"/>
      <c r="AO39" s="64"/>
      <c r="AP39" s="64"/>
      <c r="AQ39" s="64"/>
      <c r="AR39" s="65">
        <f>AR37+AR38</f>
        <v>-8090</v>
      </c>
    </row>
    <row r="41" spans="1:44" ht="34" customHeight="1" x14ac:dyDescent="0.35">
      <c r="AP41" s="68" t="s">
        <v>98</v>
      </c>
      <c r="AQ41" s="66"/>
      <c r="AR41" s="67">
        <f>AR35+AR39</f>
        <v>123520</v>
      </c>
    </row>
  </sheetData>
  <mergeCells count="10">
    <mergeCell ref="B39:AL39"/>
    <mergeCell ref="A36:B36"/>
    <mergeCell ref="B37:AL37"/>
    <mergeCell ref="B38:AL38"/>
    <mergeCell ref="P1:Q1"/>
    <mergeCell ref="E1:I1"/>
    <mergeCell ref="A1:D1"/>
    <mergeCell ref="J1:K1"/>
    <mergeCell ref="L1:M1"/>
    <mergeCell ref="N1:O1"/>
  </mergeCells>
  <phoneticPr fontId="20" type="noConversion"/>
  <conditionalFormatting sqref="H7:K7 M7:AA7 AC7:AK7">
    <cfRule type="uniqueValues" dxfId="158" priority="107" stopIfTrue="1"/>
  </conditionalFormatting>
  <conditionalFormatting sqref="H7:K34 M13:AK14 AH16:AK17 M20:AK34">
    <cfRule type="expression" dxfId="157" priority="51" stopIfTrue="1">
      <formula>AND(COUNTIF($F$4:$AK$6, H7)+COUNTIF($H$7:$AK$34, H7)=1,NOT(ISBLANK(H7)))</formula>
    </cfRule>
  </conditionalFormatting>
  <conditionalFormatting sqref="H7:K34 M13:AK14">
    <cfRule type="containsText" dxfId="156" priority="50" stopIfTrue="1" operator="containsText" text="A">
      <formula>NOT(ISERROR(SEARCH("A",H7)))</formula>
    </cfRule>
  </conditionalFormatting>
  <conditionalFormatting sqref="H8:K13 M13:AK13 M8:W8 Z8 M9:Z12 AB12:AK12 AB9:AE10 AG9:AK9 AG10:AI10 AB11:AI11 AK10:AK11">
    <cfRule type="uniqueValues" dxfId="155" priority="82" stopIfTrue="1"/>
  </conditionalFormatting>
  <conditionalFormatting sqref="H14:K34 M14:AK14 M16:Y17 M15:W15 M20:AK34 M18:W19 AA16:AF17 AH16:AK17">
    <cfRule type="uniqueValues" dxfId="154" priority="52" stopIfTrue="1"/>
  </conditionalFormatting>
  <conditionalFormatting sqref="H3:AF3 AG3:AK4 T4:AF4 H4:K6 M4:R6 T5:W5 S5:S6 T6:AK6 L5:L6">
    <cfRule type="expression" dxfId="153" priority="343" stopIfTrue="1">
      <formula>AND(COUNTIF($F$4:$AK$6, H3)+COUNTIF($H$7:$AK$33, H3)=1,NOT(ISBLANK(H3)))</formula>
    </cfRule>
  </conditionalFormatting>
  <conditionalFormatting sqref="L5:L7">
    <cfRule type="containsText" dxfId="152" priority="110" stopIfTrue="1" operator="containsText" text="A">
      <formula>NOT(ISERROR(SEARCH("A",L5)))</formula>
    </cfRule>
  </conditionalFormatting>
  <conditionalFormatting sqref="L7">
    <cfRule type="expression" dxfId="151" priority="308" stopIfTrue="1">
      <formula>AND(COUNTIF($F$1:$AI$3, L7)+COUNTIF($H$4:$AI$32, L7)=1,NOT(ISBLANK(L7)))</formula>
    </cfRule>
    <cfRule type="uniqueValues" dxfId="150" priority="340" stopIfTrue="1"/>
  </conditionalFormatting>
  <conditionalFormatting sqref="L8:L13">
    <cfRule type="uniqueValues" dxfId="149" priority="85" stopIfTrue="1"/>
  </conditionalFormatting>
  <conditionalFormatting sqref="L8:L34">
    <cfRule type="containsText" dxfId="148" priority="53" stopIfTrue="1" operator="containsText" text="A">
      <formula>NOT(ISERROR(SEARCH("A",L8)))</formula>
    </cfRule>
    <cfRule type="expression" dxfId="147" priority="54" stopIfTrue="1">
      <formula>AND(COUNTIF($F$1:$AI$3, L8)+COUNTIF($H$4:$AI$32, L8)=1,NOT(ISBLANK(L8)))</formula>
    </cfRule>
  </conditionalFormatting>
  <conditionalFormatting sqref="L14:L34">
    <cfRule type="uniqueValues" dxfId="146" priority="55" stopIfTrue="1"/>
  </conditionalFormatting>
  <conditionalFormatting sqref="M7:AA7 AC7:AK7">
    <cfRule type="containsText" dxfId="145" priority="98" stopIfTrue="1" operator="containsText" text="A">
      <formula>NOT(ISERROR(SEARCH("A",M7)))</formula>
    </cfRule>
    <cfRule type="expression" dxfId="144" priority="99" stopIfTrue="1">
      <formula>AND(COUNTIF($F$4:$AK$6, M7)+COUNTIF($H$7:$AK$34, M7)=1,NOT(ISBLANK(M7)))</formula>
    </cfRule>
  </conditionalFormatting>
  <conditionalFormatting sqref="M9:AA12">
    <cfRule type="containsText" dxfId="143" priority="42" stopIfTrue="1" operator="containsText" text="A">
      <formula>NOT(ISERROR(SEARCH("A",M9)))</formula>
    </cfRule>
  </conditionalFormatting>
  <conditionalFormatting sqref="M8:AF8">
    <cfRule type="containsText" dxfId="142" priority="75" stopIfTrue="1" operator="containsText" text="A">
      <formula>NOT(ISERROR(SEARCH("A",M8)))</formula>
    </cfRule>
  </conditionalFormatting>
  <conditionalFormatting sqref="M15:AG19">
    <cfRule type="containsText" dxfId="141" priority="23" stopIfTrue="1" operator="containsText" text="A">
      <formula>NOT(ISERROR(SEARCH("A",M15)))</formula>
    </cfRule>
    <cfRule type="expression" dxfId="140" priority="24" stopIfTrue="1">
      <formula>AND(COUNTIF($F$4:$AK$6, M15)+COUNTIF($H$7:$AK$34, M15)=1,NOT(ISBLANK(M15)))</formula>
    </cfRule>
  </conditionalFormatting>
  <conditionalFormatting sqref="V18:W19">
    <cfRule type="uniqueValues" dxfId="139" priority="1" stopIfTrue="1"/>
  </conditionalFormatting>
  <conditionalFormatting sqref="X5">
    <cfRule type="uniqueValues" dxfId="138" priority="73" stopIfTrue="1"/>
  </conditionalFormatting>
  <conditionalFormatting sqref="X8:Y8">
    <cfRule type="uniqueValues" dxfId="137" priority="74" stopIfTrue="1"/>
    <cfRule type="expression" dxfId="136" priority="76" stopIfTrue="1">
      <formula>AND(COUNTIF($F$4:$AK$6, X8)+COUNTIF($H$7:$AK$33, X8)=1,NOT(ISBLANK(X8)))</formula>
    </cfRule>
  </conditionalFormatting>
  <conditionalFormatting sqref="X18:Y19 AA18:AF19 AH18:AK19">
    <cfRule type="uniqueValues" dxfId="135" priority="31" stopIfTrue="1"/>
  </conditionalFormatting>
  <conditionalFormatting sqref="X5:AL5">
    <cfRule type="containsText" dxfId="134" priority="14" stopIfTrue="1" operator="containsText" text="A">
      <formula>NOT(ISERROR(SEARCH("A",X5)))</formula>
    </cfRule>
    <cfRule type="expression" dxfId="133" priority="15" stopIfTrue="1">
      <formula>AND(COUNTIF($F$4:$AK$6, X5)+COUNTIF($H$7:$AK$34, X5)=1,NOT(ISBLANK(X5)))</formula>
    </cfRule>
  </conditionalFormatting>
  <conditionalFormatting sqref="Y5 AA5:AF5 AH5:AK5">
    <cfRule type="uniqueValues" dxfId="132" priority="70" stopIfTrue="1"/>
  </conditionalFormatting>
  <conditionalFormatting sqref="Z5">
    <cfRule type="uniqueValues" dxfId="131" priority="64" stopIfTrue="1"/>
  </conditionalFormatting>
  <conditionalFormatting sqref="Z15:Z19">
    <cfRule type="uniqueValues" dxfId="130" priority="28" stopIfTrue="1"/>
  </conditionalFormatting>
  <conditionalFormatting sqref="Z8:AF8">
    <cfRule type="expression" dxfId="129" priority="78" stopIfTrue="1">
      <formula>AND(COUNTIF($F$4:$AK$6, Z8)+COUNTIF($H$7:$AK$34, Z8)=1,NOT(ISBLANK(Z8)))</formula>
    </cfRule>
  </conditionalFormatting>
  <conditionalFormatting sqref="AA9:AA12">
    <cfRule type="uniqueValues" dxfId="128" priority="41" stopIfTrue="1"/>
    <cfRule type="expression" dxfId="127" priority="43" stopIfTrue="1">
      <formula>AND(COUNTIF($F$4:$AK$6, AA9)+COUNTIF($H$7:$AK$33, AA9)=1,NOT(ISBLANK(AA9)))</formula>
    </cfRule>
  </conditionalFormatting>
  <conditionalFormatting sqref="AA8:AF8 AH8:AK8">
    <cfRule type="uniqueValues" dxfId="126" priority="79" stopIfTrue="1"/>
  </conditionalFormatting>
  <conditionalFormatting sqref="AA15:AF15 AH15:AK15 V15:Y15">
    <cfRule type="uniqueValues" dxfId="125" priority="34" stopIfTrue="1"/>
  </conditionalFormatting>
  <conditionalFormatting sqref="AB9:AF10">
    <cfRule type="containsText" dxfId="124" priority="39" stopIfTrue="1" operator="containsText" text="A">
      <formula>NOT(ISERROR(SEARCH("A",AB9)))</formula>
    </cfRule>
  </conditionalFormatting>
  <conditionalFormatting sqref="AF9:AF10">
    <cfRule type="uniqueValues" dxfId="123" priority="38" stopIfTrue="1"/>
    <cfRule type="expression" dxfId="122" priority="40" stopIfTrue="1">
      <formula>AND(COUNTIF($F$4:$AK$6, AF9)+COUNTIF($H$7:$AK$33, AF9)=1,NOT(ISBLANK(AF9)))</formula>
    </cfRule>
  </conditionalFormatting>
  <conditionalFormatting sqref="AF4:AK4 X4:AD4">
    <cfRule type="uniqueValues" dxfId="121" priority="101" stopIfTrue="1"/>
  </conditionalFormatting>
  <conditionalFormatting sqref="AG5">
    <cfRule type="uniqueValues" dxfId="120" priority="19" stopIfTrue="1"/>
  </conditionalFormatting>
  <conditionalFormatting sqref="AG8">
    <cfRule type="uniqueValues" dxfId="119" priority="22" stopIfTrue="1"/>
  </conditionalFormatting>
  <conditionalFormatting sqref="AG15:AG19">
    <cfRule type="uniqueValues" dxfId="118" priority="25" stopIfTrue="1"/>
  </conditionalFormatting>
  <conditionalFormatting sqref="AG10:AI10 AB11:AI11 AB12:AK12 M8:W8 M9:Z12 AB9:AE10 AK10:AK11">
    <cfRule type="expression" dxfId="117" priority="81" stopIfTrue="1">
      <formula>AND(COUNTIF($F$4:$AK$6, M8)+COUNTIF($H$7:$AK$34, M8)=1,NOT(ISBLANK(M8)))</formula>
    </cfRule>
  </conditionalFormatting>
  <conditionalFormatting sqref="AG10:AI10 AB11:AI11 AB12:AK12">
    <cfRule type="containsText" dxfId="116" priority="80" stopIfTrue="1" operator="containsText" text="A">
      <formula>NOT(ISERROR(SEARCH("A",AB10)))</formula>
    </cfRule>
  </conditionalFormatting>
  <conditionalFormatting sqref="AG3:AK4 T4:AF4 H3:AF3 H4:K6 M4:R6 T5:W5 S5:S6 T6:AK6">
    <cfRule type="containsText" dxfId="115" priority="342" stopIfTrue="1" operator="containsText" text="A">
      <formula>NOT(ISERROR(SEARCH("A",H3)))</formula>
    </cfRule>
  </conditionalFormatting>
  <conditionalFormatting sqref="AG8:AK9">
    <cfRule type="containsText" dxfId="114" priority="20" stopIfTrue="1" operator="containsText" text="A">
      <formula>NOT(ISERROR(SEARCH("A",AG8)))</formula>
    </cfRule>
    <cfRule type="expression" dxfId="113" priority="21" stopIfTrue="1">
      <formula>AND(COUNTIF($F$4:$AK$6, AG8)+COUNTIF($H$7:$AK$34, AG8)=1,NOT(ISBLANK(AG8)))</formula>
    </cfRule>
  </conditionalFormatting>
  <conditionalFormatting sqref="AH3:AK3 H3:AF3 X6:AK6 H4:K6 L5:L6 S5:S6 X4:Y4 T4:W6 M4:R6 AH4:AJ4 AD4:AF4 AG3:AG4">
    <cfRule type="uniqueValues" dxfId="112" priority="100" stopIfTrue="1"/>
  </conditionalFormatting>
  <conditionalFormatting sqref="AH15:AL15">
    <cfRule type="containsText" dxfId="111" priority="5" stopIfTrue="1" operator="containsText" text="A">
      <formula>NOT(ISERROR(SEARCH("A",AH15)))</formula>
    </cfRule>
    <cfRule type="expression" dxfId="110" priority="6" stopIfTrue="1">
      <formula>AND(COUNTIF($F$4:$AK$6, AH15)+COUNTIF($H$7:$AK$34, AH15)=1,NOT(ISBLANK(AH15)))</formula>
    </cfRule>
  </conditionalFormatting>
  <conditionalFormatting sqref="AH18:AL19">
    <cfRule type="containsText" dxfId="109" priority="2" stopIfTrue="1" operator="containsText" text="A">
      <formula>NOT(ISERROR(SEARCH("A",AH18)))</formula>
    </cfRule>
    <cfRule type="expression" dxfId="108" priority="3" stopIfTrue="1">
      <formula>AND(COUNTIF($F$4:$AK$6, AH18)+COUNTIF($H$7:$AK$34, AH18)=1,NOT(ISBLANK(AH18)))</formula>
    </cfRule>
  </conditionalFormatting>
  <conditionalFormatting sqref="AJ10:AJ11">
    <cfRule type="uniqueValues" dxfId="107" priority="35" stopIfTrue="1"/>
    <cfRule type="expression" dxfId="106" priority="37" stopIfTrue="1">
      <formula>AND(COUNTIF($F$4:$AK$6, AJ10)+COUNTIF($H$7:$AK$33, AJ10)=1,NOT(ISBLANK(AJ10)))</formula>
    </cfRule>
  </conditionalFormatting>
  <conditionalFormatting sqref="AJ10:AK11">
    <cfRule type="containsText" dxfId="105" priority="36" stopIfTrue="1" operator="containsText" text="A">
      <formula>NOT(ISERROR(SEARCH("A",AJ10)))</formula>
    </cfRule>
  </conditionalFormatting>
  <conditionalFormatting sqref="AL3:AL4 AL6:AL7 AL9:AL14 AH16:AL17 M20:AL34">
    <cfRule type="containsText" dxfId="104" priority="45" stopIfTrue="1" operator="containsText" text="A">
      <formula>NOT(ISERROR(SEARCH("A",M3)))</formula>
    </cfRule>
  </conditionalFormatting>
  <conditionalFormatting sqref="AL3:AL4 AL6:AL7 AL9:AL14 AL16:AL17 AL20:AL34">
    <cfRule type="uniqueValues" dxfId="103" priority="44" stopIfTrue="1"/>
    <cfRule type="expression" dxfId="102" priority="46" stopIfTrue="1">
      <formula>AND(COUNTIF($F$4:$AK$6, AL3)+COUNTIF($H$7:$AK$33, AL3)=1,NOT(ISBLANK(AL3)))</formula>
    </cfRule>
  </conditionalFormatting>
  <conditionalFormatting sqref="AL5">
    <cfRule type="uniqueValues" dxfId="101" priority="16" stopIfTrue="1"/>
  </conditionalFormatting>
  <conditionalFormatting sqref="AL8">
    <cfRule type="containsText" dxfId="100" priority="11" stopIfTrue="1" operator="containsText" text="A">
      <formula>NOT(ISERROR(SEARCH("A",AL8)))</formula>
    </cfRule>
    <cfRule type="expression" dxfId="99" priority="12" stopIfTrue="1">
      <formula>AND(COUNTIF($F$4:$AK$6, AL8)+COUNTIF($H$7:$AK$34, AL8)=1,NOT(ISBLANK(AL8)))</formula>
    </cfRule>
    <cfRule type="uniqueValues" dxfId="98" priority="13" stopIfTrue="1"/>
  </conditionalFormatting>
  <conditionalFormatting sqref="AL15">
    <cfRule type="uniqueValues" dxfId="97" priority="7" stopIfTrue="1"/>
  </conditionalFormatting>
  <conditionalFormatting sqref="AL18:AL19">
    <cfRule type="uniqueValues" dxfId="96" priority="4" stopIfTrue="1"/>
  </conditionalFormatting>
  <pageMargins left="0.7" right="0.7" top="0.75" bottom="0.75" header="0.3" footer="0.3"/>
  <pageSetup scale="38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D44C-EFF3-4B10-B613-0D4473A8CDE4}">
  <sheetPr>
    <pageSetUpPr fitToPage="1"/>
  </sheetPr>
  <dimension ref="A1:AV41"/>
  <sheetViews>
    <sheetView tabSelected="1" topLeftCell="W1" zoomScale="70" zoomScaleNormal="70" workbookViewId="0">
      <selection activeCell="AF43" sqref="AF43:AQ47"/>
    </sheetView>
  </sheetViews>
  <sheetFormatPr defaultColWidth="9.1796875" defaultRowHeight="18.5" x14ac:dyDescent="0.35"/>
  <cols>
    <col min="1" max="1" width="8.1796875" style="6" bestFit="1" customWidth="1"/>
    <col min="2" max="2" width="16" style="3" bestFit="1" customWidth="1"/>
    <col min="3" max="3" width="16.26953125" style="7" bestFit="1" customWidth="1"/>
    <col min="4" max="4" width="30.453125" style="27" customWidth="1"/>
    <col min="5" max="5" width="14.90625" style="27" customWidth="1"/>
    <col min="6" max="6" width="10.26953125" style="3" customWidth="1"/>
    <col min="7" max="7" width="9.1796875" style="3" customWidth="1"/>
    <col min="8" max="13" width="7.1796875" style="3" customWidth="1"/>
    <col min="14" max="14" width="8.54296875" style="3" customWidth="1"/>
    <col min="15" max="20" width="7.1796875" style="3" customWidth="1"/>
    <col min="21" max="21" width="8.54296875" style="3" customWidth="1"/>
    <col min="22" max="22" width="7.81640625" style="3" bestFit="1" customWidth="1"/>
    <col min="23" max="27" width="7.1796875" style="3" customWidth="1"/>
    <col min="28" max="28" width="8.54296875" style="3" customWidth="1"/>
    <col min="29" max="33" width="7.1796875" style="3" customWidth="1"/>
    <col min="34" max="34" width="6.7265625" style="3" bestFit="1" customWidth="1"/>
    <col min="35" max="35" width="8.54296875" style="3" customWidth="1"/>
    <col min="36" max="42" width="7.1796875" style="3" customWidth="1"/>
    <col min="43" max="43" width="11.54296875" style="3" customWidth="1"/>
    <col min="44" max="44" width="11.81640625" style="74" customWidth="1"/>
    <col min="45" max="45" width="14.81640625" style="3" customWidth="1"/>
    <col min="46" max="46" width="21" style="3" customWidth="1"/>
    <col min="47" max="47" width="16.54296875" style="3" customWidth="1"/>
    <col min="48" max="48" width="14.81640625" style="75" bestFit="1" customWidth="1"/>
    <col min="49" max="16384" width="9.1796875" style="3"/>
  </cols>
  <sheetData>
    <row r="1" spans="1:48" ht="41.5" customHeight="1" x14ac:dyDescent="0.35">
      <c r="A1" s="91" t="s">
        <v>79</v>
      </c>
      <c r="B1" s="91"/>
      <c r="C1" s="91"/>
      <c r="D1" s="91"/>
      <c r="E1" s="106" t="s">
        <v>100</v>
      </c>
      <c r="F1" s="107"/>
      <c r="G1" s="107"/>
      <c r="H1" s="107"/>
      <c r="I1" s="108"/>
      <c r="J1" s="109" t="s">
        <v>7</v>
      </c>
      <c r="K1" s="109"/>
      <c r="L1" s="110" t="s">
        <v>4</v>
      </c>
      <c r="M1" s="110"/>
      <c r="N1" s="111" t="s">
        <v>5</v>
      </c>
      <c r="O1" s="111"/>
      <c r="P1" s="104" t="s">
        <v>73</v>
      </c>
      <c r="Q1" s="105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2"/>
      <c r="AS1" s="4"/>
      <c r="AT1" s="4"/>
      <c r="AU1" s="4"/>
    </row>
    <row r="2" spans="1:48" s="42" customFormat="1" ht="90.65" customHeight="1" x14ac:dyDescent="0.35">
      <c r="A2" s="35" t="s">
        <v>0</v>
      </c>
      <c r="B2" s="35" t="s">
        <v>40</v>
      </c>
      <c r="C2" s="36" t="s">
        <v>39</v>
      </c>
      <c r="D2" s="35" t="s">
        <v>6</v>
      </c>
      <c r="E2" s="45" t="s">
        <v>38</v>
      </c>
      <c r="F2" s="35" t="s">
        <v>3</v>
      </c>
      <c r="G2" s="37" t="s">
        <v>89</v>
      </c>
      <c r="H2" s="50">
        <v>46023</v>
      </c>
      <c r="I2" s="50">
        <v>46024</v>
      </c>
      <c r="J2" s="50">
        <v>46025</v>
      </c>
      <c r="K2" s="50">
        <v>46026</v>
      </c>
      <c r="L2" s="50">
        <v>46027</v>
      </c>
      <c r="M2" s="50">
        <v>46028</v>
      </c>
      <c r="N2" s="50">
        <v>46029</v>
      </c>
      <c r="O2" s="50">
        <v>46030</v>
      </c>
      <c r="P2" s="50">
        <v>46031</v>
      </c>
      <c r="Q2" s="50">
        <v>46032</v>
      </c>
      <c r="R2" s="50">
        <v>46033</v>
      </c>
      <c r="S2" s="50">
        <v>46034</v>
      </c>
      <c r="T2" s="50">
        <v>46035</v>
      </c>
      <c r="U2" s="50">
        <v>46036</v>
      </c>
      <c r="V2" s="50">
        <v>46037</v>
      </c>
      <c r="W2" s="50">
        <v>46038</v>
      </c>
      <c r="X2" s="50">
        <v>46039</v>
      </c>
      <c r="Y2" s="50">
        <v>46040</v>
      </c>
      <c r="Z2" s="50">
        <v>46041</v>
      </c>
      <c r="AA2" s="50">
        <v>46042</v>
      </c>
      <c r="AB2" s="50">
        <v>46043</v>
      </c>
      <c r="AC2" s="50">
        <v>46044</v>
      </c>
      <c r="AD2" s="50">
        <v>46045</v>
      </c>
      <c r="AE2" s="50">
        <v>46046</v>
      </c>
      <c r="AF2" s="50">
        <v>46047</v>
      </c>
      <c r="AG2" s="50">
        <v>46048</v>
      </c>
      <c r="AH2" s="50">
        <v>46049</v>
      </c>
      <c r="AI2" s="50">
        <v>46050</v>
      </c>
      <c r="AJ2" s="50">
        <v>46051</v>
      </c>
      <c r="AK2" s="50">
        <v>46052</v>
      </c>
      <c r="AL2" s="50">
        <v>46053</v>
      </c>
      <c r="AM2" s="86">
        <v>46054</v>
      </c>
      <c r="AN2" s="86">
        <v>46055</v>
      </c>
      <c r="AO2" s="86">
        <v>46056</v>
      </c>
      <c r="AP2" s="86">
        <v>46057</v>
      </c>
      <c r="AQ2" s="38" t="s">
        <v>101</v>
      </c>
      <c r="AR2" s="39" t="s">
        <v>76</v>
      </c>
      <c r="AS2" s="88" t="s">
        <v>77</v>
      </c>
      <c r="AT2" s="35" t="s">
        <v>2</v>
      </c>
      <c r="AU2" s="35" t="s">
        <v>74</v>
      </c>
      <c r="AV2" s="41" t="s">
        <v>80</v>
      </c>
    </row>
    <row r="3" spans="1:48" ht="24" customHeight="1" x14ac:dyDescent="0.35">
      <c r="A3" s="10">
        <v>1</v>
      </c>
      <c r="B3" s="10">
        <v>2493987735</v>
      </c>
      <c r="C3" s="10">
        <v>571383147</v>
      </c>
      <c r="D3" s="25" t="s">
        <v>8</v>
      </c>
      <c r="E3" s="46" t="s">
        <v>9</v>
      </c>
      <c r="F3" s="11" t="s">
        <v>10</v>
      </c>
      <c r="G3" s="48">
        <v>24</v>
      </c>
      <c r="H3" s="79">
        <v>10</v>
      </c>
      <c r="I3" s="80"/>
      <c r="J3" s="79">
        <v>10</v>
      </c>
      <c r="K3" s="79">
        <v>10</v>
      </c>
      <c r="L3" s="79">
        <v>10</v>
      </c>
      <c r="M3" s="79">
        <v>10</v>
      </c>
      <c r="N3" s="79">
        <v>10</v>
      </c>
      <c r="O3" s="79">
        <v>10</v>
      </c>
      <c r="P3" s="80"/>
      <c r="Q3" s="79">
        <v>10</v>
      </c>
      <c r="R3" s="79">
        <v>10</v>
      </c>
      <c r="S3" s="79">
        <v>10</v>
      </c>
      <c r="T3" s="79">
        <v>10</v>
      </c>
      <c r="U3" s="79">
        <v>10</v>
      </c>
      <c r="V3" s="79">
        <v>10</v>
      </c>
      <c r="W3" s="80"/>
      <c r="X3" s="79">
        <v>10</v>
      </c>
      <c r="Y3" s="79">
        <v>10</v>
      </c>
      <c r="Z3" s="79">
        <v>10</v>
      </c>
      <c r="AA3" s="79">
        <v>10</v>
      </c>
      <c r="AB3" s="79">
        <v>10</v>
      </c>
      <c r="AC3" s="79">
        <v>10</v>
      </c>
      <c r="AD3" s="80"/>
      <c r="AE3" s="79">
        <v>10</v>
      </c>
      <c r="AF3" s="79">
        <v>10</v>
      </c>
      <c r="AG3" s="79">
        <v>10</v>
      </c>
      <c r="AH3" s="79">
        <v>10</v>
      </c>
      <c r="AI3" s="79">
        <v>10</v>
      </c>
      <c r="AJ3" s="79">
        <v>10</v>
      </c>
      <c r="AK3" s="80">
        <v>10</v>
      </c>
      <c r="AL3" s="79">
        <v>10</v>
      </c>
      <c r="AM3" s="87">
        <v>10</v>
      </c>
      <c r="AN3" s="87">
        <v>10</v>
      </c>
      <c r="AO3" s="81">
        <v>0</v>
      </c>
      <c r="AP3" s="81">
        <v>0</v>
      </c>
      <c r="AQ3" s="69">
        <f>SUM(H3:AP3)</f>
        <v>290</v>
      </c>
      <c r="AR3" s="70">
        <v>2</v>
      </c>
      <c r="AS3" s="89">
        <f>15*AR3</f>
        <v>30</v>
      </c>
      <c r="AT3" s="1"/>
      <c r="AU3" s="1"/>
      <c r="AV3" s="76">
        <f t="shared" ref="AV3:AV34" si="0">G3*AQ3-AS3</f>
        <v>6930</v>
      </c>
    </row>
    <row r="4" spans="1:48" ht="24" customHeight="1" x14ac:dyDescent="0.35">
      <c r="A4" s="17">
        <v>2</v>
      </c>
      <c r="B4" s="17">
        <v>2540375504</v>
      </c>
      <c r="C4" s="18">
        <v>534367195</v>
      </c>
      <c r="D4" s="26" t="s">
        <v>27</v>
      </c>
      <c r="E4" s="47" t="s">
        <v>9</v>
      </c>
      <c r="F4" s="19" t="s">
        <v>10</v>
      </c>
      <c r="G4" s="48">
        <v>24</v>
      </c>
      <c r="H4" s="79">
        <v>10</v>
      </c>
      <c r="I4" s="82"/>
      <c r="J4" s="79">
        <v>10</v>
      </c>
      <c r="K4" s="79">
        <v>10</v>
      </c>
      <c r="L4" s="79">
        <v>10</v>
      </c>
      <c r="M4" s="79">
        <v>10</v>
      </c>
      <c r="N4" s="79">
        <v>10</v>
      </c>
      <c r="O4" s="79">
        <v>10</v>
      </c>
      <c r="P4" s="82"/>
      <c r="Q4" s="79">
        <v>10</v>
      </c>
      <c r="R4" s="79">
        <v>10</v>
      </c>
      <c r="S4" s="79">
        <v>10</v>
      </c>
      <c r="T4" s="79">
        <v>10</v>
      </c>
      <c r="U4" s="79">
        <v>10</v>
      </c>
      <c r="V4" s="79">
        <v>10</v>
      </c>
      <c r="W4" s="82"/>
      <c r="X4" s="79">
        <v>10</v>
      </c>
      <c r="Y4" s="79">
        <v>10</v>
      </c>
      <c r="Z4" s="79">
        <v>10</v>
      </c>
      <c r="AA4" s="79">
        <v>10</v>
      </c>
      <c r="AB4" s="79">
        <v>10</v>
      </c>
      <c r="AC4" s="79">
        <v>10</v>
      </c>
      <c r="AD4" s="82"/>
      <c r="AE4" s="79">
        <v>10</v>
      </c>
      <c r="AF4" s="79">
        <v>10</v>
      </c>
      <c r="AG4" s="79">
        <v>10</v>
      </c>
      <c r="AH4" s="79">
        <v>10</v>
      </c>
      <c r="AI4" s="79">
        <v>10</v>
      </c>
      <c r="AJ4" s="79">
        <v>10</v>
      </c>
      <c r="AK4" s="80">
        <v>10</v>
      </c>
      <c r="AL4" s="79">
        <v>10</v>
      </c>
      <c r="AM4" s="87">
        <v>10</v>
      </c>
      <c r="AN4" s="87">
        <v>10</v>
      </c>
      <c r="AO4" s="87">
        <v>10</v>
      </c>
      <c r="AP4" s="81">
        <v>0</v>
      </c>
      <c r="AQ4" s="69">
        <f t="shared" ref="AQ4:AQ34" si="1">SUM(H4:AP4)</f>
        <v>300</v>
      </c>
      <c r="AR4" s="72">
        <v>1</v>
      </c>
      <c r="AS4" s="89">
        <f t="shared" ref="AS4:AS34" si="2">15*AR4</f>
        <v>15</v>
      </c>
      <c r="AT4" s="1"/>
      <c r="AU4" s="2"/>
      <c r="AV4" s="76">
        <f t="shared" si="0"/>
        <v>7185</v>
      </c>
    </row>
    <row r="5" spans="1:48" ht="24" customHeight="1" x14ac:dyDescent="0.35">
      <c r="A5" s="10">
        <v>3</v>
      </c>
      <c r="B5" s="17">
        <v>2509110447</v>
      </c>
      <c r="C5" s="18">
        <v>574769759</v>
      </c>
      <c r="D5" s="26" t="s">
        <v>11</v>
      </c>
      <c r="E5" s="47" t="s">
        <v>9</v>
      </c>
      <c r="F5" s="19" t="s">
        <v>10</v>
      </c>
      <c r="G5" s="48">
        <v>24</v>
      </c>
      <c r="H5" s="54">
        <v>0</v>
      </c>
      <c r="I5" s="52"/>
      <c r="J5" s="54">
        <v>0</v>
      </c>
      <c r="K5" s="54">
        <v>0</v>
      </c>
      <c r="L5" s="54">
        <v>0</v>
      </c>
      <c r="M5" s="54">
        <v>0</v>
      </c>
      <c r="N5" s="54">
        <v>0</v>
      </c>
      <c r="O5" s="54">
        <v>0</v>
      </c>
      <c r="P5" s="52"/>
      <c r="Q5" s="54">
        <v>0</v>
      </c>
      <c r="R5" s="54">
        <v>0</v>
      </c>
      <c r="S5" s="54">
        <v>0</v>
      </c>
      <c r="T5" s="54">
        <v>0</v>
      </c>
      <c r="U5" s="54">
        <v>0</v>
      </c>
      <c r="V5" s="54">
        <v>0</v>
      </c>
      <c r="W5" s="52"/>
      <c r="X5" s="54">
        <v>0</v>
      </c>
      <c r="Y5" s="54">
        <v>0</v>
      </c>
      <c r="Z5" s="54">
        <v>0</v>
      </c>
      <c r="AA5" s="54">
        <v>0</v>
      </c>
      <c r="AB5" s="54">
        <v>0</v>
      </c>
      <c r="AC5" s="54">
        <v>0</v>
      </c>
      <c r="AD5" s="52"/>
      <c r="AE5" s="54">
        <v>0</v>
      </c>
      <c r="AF5" s="54">
        <v>0</v>
      </c>
      <c r="AG5" s="54">
        <v>0</v>
      </c>
      <c r="AH5" s="54">
        <v>0</v>
      </c>
      <c r="AI5" s="54">
        <v>0</v>
      </c>
      <c r="AJ5" s="54">
        <v>0</v>
      </c>
      <c r="AK5" s="52"/>
      <c r="AL5" s="54">
        <v>0</v>
      </c>
      <c r="AM5" s="54">
        <v>0</v>
      </c>
      <c r="AN5" s="54">
        <v>0</v>
      </c>
      <c r="AO5" s="54">
        <v>0</v>
      </c>
      <c r="AP5" s="54">
        <v>0</v>
      </c>
      <c r="AQ5" s="69">
        <f t="shared" si="1"/>
        <v>0</v>
      </c>
      <c r="AR5" s="72"/>
      <c r="AS5" s="89">
        <f t="shared" si="2"/>
        <v>0</v>
      </c>
      <c r="AT5" s="1"/>
      <c r="AU5" s="2"/>
      <c r="AV5" s="76">
        <f t="shared" si="0"/>
        <v>0</v>
      </c>
    </row>
    <row r="6" spans="1:48" x14ac:dyDescent="0.35">
      <c r="A6" s="17">
        <v>4</v>
      </c>
      <c r="B6" s="17">
        <v>2247046150</v>
      </c>
      <c r="C6" s="18">
        <v>551491295</v>
      </c>
      <c r="D6" s="26" t="s">
        <v>13</v>
      </c>
      <c r="E6" s="47" t="s">
        <v>12</v>
      </c>
      <c r="F6" s="19" t="s">
        <v>10</v>
      </c>
      <c r="G6" s="48">
        <v>24</v>
      </c>
      <c r="H6" s="79">
        <v>10</v>
      </c>
      <c r="I6" s="80"/>
      <c r="J6" s="79">
        <v>10</v>
      </c>
      <c r="K6" s="79">
        <v>10</v>
      </c>
      <c r="L6" s="79">
        <v>10</v>
      </c>
      <c r="M6" s="79">
        <v>10</v>
      </c>
      <c r="N6" s="79">
        <v>10</v>
      </c>
      <c r="O6" s="79">
        <v>10</v>
      </c>
      <c r="P6" s="80"/>
      <c r="Q6" s="79">
        <v>10</v>
      </c>
      <c r="R6" s="79">
        <v>10</v>
      </c>
      <c r="S6" s="79">
        <v>10</v>
      </c>
      <c r="T6" s="79">
        <v>10</v>
      </c>
      <c r="U6" s="79">
        <v>10</v>
      </c>
      <c r="V6" s="79">
        <v>10</v>
      </c>
      <c r="W6" s="80"/>
      <c r="X6" s="79">
        <v>10</v>
      </c>
      <c r="Y6" s="79">
        <v>10</v>
      </c>
      <c r="Z6" s="79">
        <v>10</v>
      </c>
      <c r="AA6" s="79">
        <v>10</v>
      </c>
      <c r="AB6" s="79">
        <v>10</v>
      </c>
      <c r="AC6" s="79">
        <v>10</v>
      </c>
      <c r="AD6" s="80"/>
      <c r="AE6" s="79">
        <v>10</v>
      </c>
      <c r="AF6" s="79">
        <v>10</v>
      </c>
      <c r="AG6" s="79">
        <v>10</v>
      </c>
      <c r="AH6" s="79">
        <v>10</v>
      </c>
      <c r="AI6" s="79">
        <v>10</v>
      </c>
      <c r="AJ6" s="79">
        <v>10</v>
      </c>
      <c r="AK6" s="80">
        <v>10</v>
      </c>
      <c r="AL6" s="79">
        <v>10</v>
      </c>
      <c r="AM6" s="87">
        <v>10</v>
      </c>
      <c r="AN6" s="87">
        <v>10</v>
      </c>
      <c r="AO6" s="87">
        <v>10</v>
      </c>
      <c r="AP6" s="81">
        <v>0</v>
      </c>
      <c r="AQ6" s="69">
        <f t="shared" si="1"/>
        <v>300</v>
      </c>
      <c r="AR6" s="72">
        <v>1</v>
      </c>
      <c r="AS6" s="89">
        <f t="shared" si="2"/>
        <v>15</v>
      </c>
      <c r="AT6" s="1"/>
      <c r="AU6" s="2"/>
      <c r="AV6" s="76">
        <f t="shared" si="0"/>
        <v>7185</v>
      </c>
    </row>
    <row r="7" spans="1:48" x14ac:dyDescent="0.45">
      <c r="A7" s="10">
        <v>5</v>
      </c>
      <c r="B7" s="17">
        <v>2547591764</v>
      </c>
      <c r="C7" s="18">
        <v>571436210</v>
      </c>
      <c r="D7" s="26" t="s">
        <v>31</v>
      </c>
      <c r="E7" s="47" t="s">
        <v>12</v>
      </c>
      <c r="F7" s="19" t="s">
        <v>10</v>
      </c>
      <c r="G7" s="48">
        <v>24</v>
      </c>
      <c r="H7" s="79">
        <v>10</v>
      </c>
      <c r="I7" s="83"/>
      <c r="J7" s="79">
        <v>10</v>
      </c>
      <c r="K7" s="79">
        <v>10</v>
      </c>
      <c r="L7" s="79">
        <v>10</v>
      </c>
      <c r="M7" s="81">
        <v>0</v>
      </c>
      <c r="N7" s="79">
        <v>10</v>
      </c>
      <c r="O7" s="79">
        <v>10</v>
      </c>
      <c r="P7" s="83"/>
      <c r="Q7" s="79">
        <v>10</v>
      </c>
      <c r="R7" s="79">
        <v>10</v>
      </c>
      <c r="S7" s="79">
        <v>10</v>
      </c>
      <c r="T7" s="79">
        <v>10</v>
      </c>
      <c r="U7" s="79">
        <v>10</v>
      </c>
      <c r="V7" s="79">
        <v>10</v>
      </c>
      <c r="W7" s="83"/>
      <c r="X7" s="79">
        <v>10</v>
      </c>
      <c r="Y7" s="79">
        <v>10</v>
      </c>
      <c r="Z7" s="79">
        <v>10</v>
      </c>
      <c r="AA7" s="79">
        <v>10</v>
      </c>
      <c r="AB7" s="79">
        <v>10</v>
      </c>
      <c r="AC7" s="79">
        <v>10</v>
      </c>
      <c r="AD7" s="80"/>
      <c r="AE7" s="81">
        <v>0</v>
      </c>
      <c r="AF7" s="79">
        <v>10</v>
      </c>
      <c r="AG7" s="79">
        <v>10</v>
      </c>
      <c r="AH7" s="79">
        <v>10</v>
      </c>
      <c r="AI7" s="79">
        <v>10</v>
      </c>
      <c r="AJ7" s="79">
        <v>10</v>
      </c>
      <c r="AK7" s="80">
        <v>10</v>
      </c>
      <c r="AL7" s="79">
        <v>10</v>
      </c>
      <c r="AM7" s="87">
        <v>10</v>
      </c>
      <c r="AN7" s="87">
        <v>10</v>
      </c>
      <c r="AO7" s="87">
        <v>10</v>
      </c>
      <c r="AP7" s="81">
        <v>0</v>
      </c>
      <c r="AQ7" s="69">
        <f t="shared" si="1"/>
        <v>280</v>
      </c>
      <c r="AR7" s="72">
        <v>3</v>
      </c>
      <c r="AS7" s="89">
        <f t="shared" si="2"/>
        <v>45</v>
      </c>
      <c r="AT7" s="1"/>
      <c r="AU7" s="2"/>
      <c r="AV7" s="76">
        <f t="shared" si="0"/>
        <v>6675</v>
      </c>
    </row>
    <row r="8" spans="1:48" x14ac:dyDescent="0.35">
      <c r="A8" s="17">
        <v>6</v>
      </c>
      <c r="B8" s="17">
        <v>2496211331</v>
      </c>
      <c r="C8" s="18">
        <v>578363211</v>
      </c>
      <c r="D8" s="26" t="s">
        <v>83</v>
      </c>
      <c r="E8" s="47" t="s">
        <v>12</v>
      </c>
      <c r="F8" s="19" t="s">
        <v>10</v>
      </c>
      <c r="G8" s="48">
        <v>24</v>
      </c>
      <c r="H8" s="54">
        <v>0</v>
      </c>
      <c r="I8" s="5"/>
      <c r="J8" s="54">
        <v>0</v>
      </c>
      <c r="K8" s="54">
        <v>0</v>
      </c>
      <c r="L8" s="54">
        <v>0</v>
      </c>
      <c r="M8" s="54">
        <v>0</v>
      </c>
      <c r="N8" s="54">
        <v>0</v>
      </c>
      <c r="O8" s="54">
        <v>0</v>
      </c>
      <c r="P8" s="5"/>
      <c r="Q8" s="54">
        <v>0</v>
      </c>
      <c r="R8" s="54">
        <v>0</v>
      </c>
      <c r="S8" s="54">
        <v>0</v>
      </c>
      <c r="T8" s="54">
        <v>0</v>
      </c>
      <c r="U8" s="54">
        <v>0</v>
      </c>
      <c r="V8" s="54">
        <v>0</v>
      </c>
      <c r="W8" s="5"/>
      <c r="X8" s="54">
        <v>0</v>
      </c>
      <c r="Y8" s="54">
        <v>0</v>
      </c>
      <c r="Z8" s="54">
        <v>0</v>
      </c>
      <c r="AA8" s="54">
        <v>0</v>
      </c>
      <c r="AB8" s="54">
        <v>0</v>
      </c>
      <c r="AC8" s="54">
        <v>0</v>
      </c>
      <c r="AD8" s="5"/>
      <c r="AE8" s="54">
        <v>0</v>
      </c>
      <c r="AF8" s="54">
        <v>0</v>
      </c>
      <c r="AG8" s="54">
        <v>0</v>
      </c>
      <c r="AH8" s="54">
        <v>0</v>
      </c>
      <c r="AI8" s="54">
        <v>0</v>
      </c>
      <c r="AJ8" s="54">
        <v>0</v>
      </c>
      <c r="AK8" s="5"/>
      <c r="AL8" s="54">
        <v>0</v>
      </c>
      <c r="AM8" s="54">
        <v>0</v>
      </c>
      <c r="AN8" s="54">
        <v>0</v>
      </c>
      <c r="AO8" s="54">
        <v>0</v>
      </c>
      <c r="AP8" s="54">
        <v>0</v>
      </c>
      <c r="AQ8" s="69">
        <f t="shared" si="1"/>
        <v>0</v>
      </c>
      <c r="AR8" s="72"/>
      <c r="AS8" s="89">
        <f t="shared" si="2"/>
        <v>0</v>
      </c>
      <c r="AT8" s="1"/>
      <c r="AU8" s="2"/>
      <c r="AV8" s="76">
        <f t="shared" si="0"/>
        <v>0</v>
      </c>
    </row>
    <row r="9" spans="1:48" x14ac:dyDescent="0.45">
      <c r="A9" s="10">
        <v>7</v>
      </c>
      <c r="B9" s="17">
        <v>2527095869</v>
      </c>
      <c r="C9" s="18">
        <v>545239648</v>
      </c>
      <c r="D9" s="26" t="s">
        <v>84</v>
      </c>
      <c r="E9" s="47" t="s">
        <v>12</v>
      </c>
      <c r="F9" s="19" t="s">
        <v>10</v>
      </c>
      <c r="G9" s="48">
        <v>24</v>
      </c>
      <c r="H9" s="81">
        <v>0</v>
      </c>
      <c r="I9" s="83"/>
      <c r="J9" s="79">
        <v>10</v>
      </c>
      <c r="K9" s="79">
        <v>10</v>
      </c>
      <c r="L9" s="79">
        <v>10</v>
      </c>
      <c r="M9" s="79">
        <v>10</v>
      </c>
      <c r="N9" s="79">
        <v>10</v>
      </c>
      <c r="O9" s="81">
        <v>0</v>
      </c>
      <c r="P9" s="83"/>
      <c r="Q9" s="79">
        <v>10</v>
      </c>
      <c r="R9" s="79">
        <v>10</v>
      </c>
      <c r="S9" s="79">
        <v>10</v>
      </c>
      <c r="T9" s="79">
        <v>10</v>
      </c>
      <c r="U9" s="79">
        <v>10</v>
      </c>
      <c r="V9" s="79">
        <v>10</v>
      </c>
      <c r="W9" s="83"/>
      <c r="X9" s="79">
        <v>10</v>
      </c>
      <c r="Y9" s="79">
        <v>10</v>
      </c>
      <c r="Z9" s="79">
        <v>10</v>
      </c>
      <c r="AA9" s="79">
        <v>10</v>
      </c>
      <c r="AB9" s="79">
        <v>10</v>
      </c>
      <c r="AC9" s="79">
        <v>10</v>
      </c>
      <c r="AD9" s="83"/>
      <c r="AE9" s="81">
        <v>0</v>
      </c>
      <c r="AF9" s="79">
        <v>10</v>
      </c>
      <c r="AG9" s="79">
        <v>10</v>
      </c>
      <c r="AH9" s="79">
        <v>10</v>
      </c>
      <c r="AI9" s="79">
        <v>10</v>
      </c>
      <c r="AJ9" s="79">
        <v>10</v>
      </c>
      <c r="AK9" s="80"/>
      <c r="AL9" s="84">
        <v>0</v>
      </c>
      <c r="AM9" s="84">
        <v>0</v>
      </c>
      <c r="AN9" s="84">
        <v>0</v>
      </c>
      <c r="AO9" s="84">
        <v>0</v>
      </c>
      <c r="AP9" s="84">
        <v>0</v>
      </c>
      <c r="AQ9" s="69">
        <f t="shared" si="1"/>
        <v>220</v>
      </c>
      <c r="AR9" s="72">
        <v>4</v>
      </c>
      <c r="AS9" s="89">
        <f t="shared" si="2"/>
        <v>60</v>
      </c>
      <c r="AT9" s="1"/>
      <c r="AU9" s="2"/>
      <c r="AV9" s="76">
        <f t="shared" si="0"/>
        <v>5220</v>
      </c>
    </row>
    <row r="10" spans="1:48" x14ac:dyDescent="0.45">
      <c r="A10" s="17">
        <v>8</v>
      </c>
      <c r="B10" s="17">
        <v>2548560578</v>
      </c>
      <c r="C10" s="18">
        <v>597492745</v>
      </c>
      <c r="D10" s="26" t="s">
        <v>85</v>
      </c>
      <c r="E10" s="47" t="s">
        <v>12</v>
      </c>
      <c r="F10" s="19" t="s">
        <v>10</v>
      </c>
      <c r="G10" s="48">
        <v>24</v>
      </c>
      <c r="H10" s="81">
        <v>0</v>
      </c>
      <c r="I10" s="83"/>
      <c r="J10" s="79">
        <v>10</v>
      </c>
      <c r="K10" s="79">
        <v>10</v>
      </c>
      <c r="L10" s="79">
        <v>10</v>
      </c>
      <c r="M10" s="81">
        <v>0</v>
      </c>
      <c r="N10" s="79">
        <v>10</v>
      </c>
      <c r="O10" s="79">
        <v>10</v>
      </c>
      <c r="P10" s="83"/>
      <c r="Q10" s="79">
        <v>10</v>
      </c>
      <c r="R10" s="81">
        <v>0</v>
      </c>
      <c r="S10" s="79">
        <v>10</v>
      </c>
      <c r="T10" s="79">
        <v>10</v>
      </c>
      <c r="U10" s="79">
        <v>10</v>
      </c>
      <c r="V10" s="81">
        <v>0</v>
      </c>
      <c r="W10" s="83"/>
      <c r="X10" s="79">
        <v>10</v>
      </c>
      <c r="Y10" s="79">
        <v>10</v>
      </c>
      <c r="Z10" s="79">
        <v>10</v>
      </c>
      <c r="AA10" s="79">
        <v>10</v>
      </c>
      <c r="AB10" s="79">
        <v>10</v>
      </c>
      <c r="AC10" s="81">
        <v>0</v>
      </c>
      <c r="AD10" s="83"/>
      <c r="AE10" s="79">
        <v>10</v>
      </c>
      <c r="AF10" s="79">
        <v>10</v>
      </c>
      <c r="AG10" s="79">
        <v>10</v>
      </c>
      <c r="AH10" s="79">
        <v>10</v>
      </c>
      <c r="AI10" s="79">
        <v>10</v>
      </c>
      <c r="AJ10" s="79">
        <v>10</v>
      </c>
      <c r="AK10" s="80"/>
      <c r="AL10" s="84">
        <v>0</v>
      </c>
      <c r="AM10" s="84">
        <v>0</v>
      </c>
      <c r="AN10" s="84">
        <v>0</v>
      </c>
      <c r="AO10" s="84">
        <v>0</v>
      </c>
      <c r="AP10" s="84">
        <v>0</v>
      </c>
      <c r="AQ10" s="69">
        <f t="shared" si="1"/>
        <v>200</v>
      </c>
      <c r="AR10" s="72">
        <v>6</v>
      </c>
      <c r="AS10" s="89">
        <f t="shared" si="2"/>
        <v>90</v>
      </c>
      <c r="AT10" s="1"/>
      <c r="AU10" s="2"/>
      <c r="AV10" s="76">
        <f t="shared" si="0"/>
        <v>4710</v>
      </c>
    </row>
    <row r="11" spans="1:48" x14ac:dyDescent="0.45">
      <c r="A11" s="10">
        <v>9</v>
      </c>
      <c r="B11" s="17">
        <v>2495936201</v>
      </c>
      <c r="C11" s="18">
        <v>572074632</v>
      </c>
      <c r="D11" s="26" t="s">
        <v>86</v>
      </c>
      <c r="E11" s="47" t="s">
        <v>12</v>
      </c>
      <c r="F11" s="19" t="s">
        <v>10</v>
      </c>
      <c r="G11" s="48">
        <v>24</v>
      </c>
      <c r="H11" s="81">
        <v>0</v>
      </c>
      <c r="I11" s="83"/>
      <c r="J11" s="79">
        <v>10</v>
      </c>
      <c r="K11" s="79">
        <v>10</v>
      </c>
      <c r="L11" s="79">
        <v>10</v>
      </c>
      <c r="M11" s="79">
        <v>10</v>
      </c>
      <c r="N11" s="79">
        <v>10</v>
      </c>
      <c r="O11" s="81">
        <v>0</v>
      </c>
      <c r="P11" s="83"/>
      <c r="Q11" s="81">
        <v>0</v>
      </c>
      <c r="R11" s="79">
        <v>10</v>
      </c>
      <c r="S11" s="79">
        <v>10</v>
      </c>
      <c r="T11" s="79">
        <v>10</v>
      </c>
      <c r="U11" s="79">
        <v>10</v>
      </c>
      <c r="V11" s="79">
        <v>10</v>
      </c>
      <c r="W11" s="83"/>
      <c r="X11" s="79">
        <v>10</v>
      </c>
      <c r="Y11" s="81">
        <v>0</v>
      </c>
      <c r="Z11" s="79">
        <v>10</v>
      </c>
      <c r="AA11" s="79">
        <v>10</v>
      </c>
      <c r="AB11" s="79">
        <v>10</v>
      </c>
      <c r="AC11" s="79">
        <v>10</v>
      </c>
      <c r="AD11" s="83"/>
      <c r="AE11" s="81">
        <v>0</v>
      </c>
      <c r="AF11" s="79">
        <v>10</v>
      </c>
      <c r="AG11" s="79">
        <v>10</v>
      </c>
      <c r="AH11" s="79">
        <v>10</v>
      </c>
      <c r="AI11" s="79">
        <v>10</v>
      </c>
      <c r="AJ11" s="79">
        <v>10</v>
      </c>
      <c r="AK11" s="80"/>
      <c r="AL11" s="84">
        <v>0</v>
      </c>
      <c r="AM11" s="84">
        <v>0</v>
      </c>
      <c r="AN11" s="84">
        <v>0</v>
      </c>
      <c r="AO11" s="84">
        <v>0</v>
      </c>
      <c r="AP11" s="84">
        <v>0</v>
      </c>
      <c r="AQ11" s="69">
        <f t="shared" si="1"/>
        <v>200</v>
      </c>
      <c r="AR11" s="72">
        <v>5</v>
      </c>
      <c r="AS11" s="89">
        <f t="shared" si="2"/>
        <v>75</v>
      </c>
      <c r="AT11" s="1"/>
      <c r="AU11" s="2"/>
      <c r="AV11" s="76">
        <f t="shared" si="0"/>
        <v>4725</v>
      </c>
    </row>
    <row r="12" spans="1:48" x14ac:dyDescent="0.45">
      <c r="A12" s="17">
        <v>10</v>
      </c>
      <c r="B12" s="17">
        <v>2513088977</v>
      </c>
      <c r="C12" s="18">
        <v>594529335</v>
      </c>
      <c r="D12" s="26" t="s">
        <v>87</v>
      </c>
      <c r="E12" s="47" t="s">
        <v>12</v>
      </c>
      <c r="F12" s="19" t="s">
        <v>10</v>
      </c>
      <c r="G12" s="48">
        <v>24</v>
      </c>
      <c r="H12" s="81">
        <v>0</v>
      </c>
      <c r="I12" s="83"/>
      <c r="J12" s="79">
        <v>10</v>
      </c>
      <c r="K12" s="79">
        <v>10</v>
      </c>
      <c r="L12" s="79">
        <v>10</v>
      </c>
      <c r="M12" s="79">
        <v>10</v>
      </c>
      <c r="N12" s="79">
        <v>10</v>
      </c>
      <c r="O12" s="79">
        <v>10</v>
      </c>
      <c r="P12" s="83"/>
      <c r="Q12" s="79">
        <v>10</v>
      </c>
      <c r="R12" s="79">
        <v>10</v>
      </c>
      <c r="S12" s="79">
        <v>10</v>
      </c>
      <c r="T12" s="79">
        <v>10</v>
      </c>
      <c r="U12" s="79">
        <v>10</v>
      </c>
      <c r="V12" s="81">
        <v>0</v>
      </c>
      <c r="W12" s="83"/>
      <c r="X12" s="79">
        <v>10</v>
      </c>
      <c r="Y12" s="79">
        <v>10</v>
      </c>
      <c r="Z12" s="79">
        <v>10</v>
      </c>
      <c r="AA12" s="79">
        <v>10</v>
      </c>
      <c r="AB12" s="79">
        <v>10</v>
      </c>
      <c r="AC12" s="79">
        <v>10</v>
      </c>
      <c r="AD12" s="83"/>
      <c r="AE12" s="81">
        <v>0</v>
      </c>
      <c r="AF12" s="79">
        <v>10</v>
      </c>
      <c r="AG12" s="79">
        <v>10</v>
      </c>
      <c r="AH12" s="79">
        <v>10</v>
      </c>
      <c r="AI12" s="79">
        <v>10</v>
      </c>
      <c r="AJ12" s="79">
        <v>10</v>
      </c>
      <c r="AK12" s="80">
        <v>10</v>
      </c>
      <c r="AL12" s="79">
        <v>10</v>
      </c>
      <c r="AM12" s="84">
        <v>0</v>
      </c>
      <c r="AN12" s="84">
        <v>0</v>
      </c>
      <c r="AO12" s="84">
        <v>0</v>
      </c>
      <c r="AP12" s="84">
        <v>0</v>
      </c>
      <c r="AQ12" s="69">
        <f t="shared" si="1"/>
        <v>240</v>
      </c>
      <c r="AR12" s="72">
        <v>3</v>
      </c>
      <c r="AS12" s="89">
        <f t="shared" si="2"/>
        <v>45</v>
      </c>
      <c r="AT12" s="1"/>
      <c r="AU12" s="2"/>
      <c r="AV12" s="76">
        <f t="shared" si="0"/>
        <v>5715</v>
      </c>
    </row>
    <row r="13" spans="1:48" x14ac:dyDescent="0.45">
      <c r="A13" s="10">
        <v>11</v>
      </c>
      <c r="B13" s="17">
        <v>2494240860</v>
      </c>
      <c r="C13" s="18">
        <v>583964932</v>
      </c>
      <c r="D13" s="26" t="s">
        <v>88</v>
      </c>
      <c r="E13" s="47" t="s">
        <v>12</v>
      </c>
      <c r="F13" s="19" t="s">
        <v>10</v>
      </c>
      <c r="G13" s="48">
        <v>24</v>
      </c>
      <c r="H13" s="79">
        <v>10</v>
      </c>
      <c r="I13" s="83"/>
      <c r="J13" s="79">
        <v>10</v>
      </c>
      <c r="K13" s="79">
        <v>10</v>
      </c>
      <c r="L13" s="79">
        <v>10</v>
      </c>
      <c r="M13" s="79">
        <v>10</v>
      </c>
      <c r="N13" s="79">
        <v>10</v>
      </c>
      <c r="O13" s="79">
        <v>10</v>
      </c>
      <c r="P13" s="83"/>
      <c r="Q13" s="79">
        <v>10</v>
      </c>
      <c r="R13" s="79">
        <v>10</v>
      </c>
      <c r="S13" s="79">
        <v>10</v>
      </c>
      <c r="T13" s="79">
        <v>10</v>
      </c>
      <c r="U13" s="79">
        <v>10</v>
      </c>
      <c r="V13" s="79">
        <v>10</v>
      </c>
      <c r="W13" s="83"/>
      <c r="X13" s="79">
        <v>10</v>
      </c>
      <c r="Y13" s="79">
        <v>10</v>
      </c>
      <c r="Z13" s="79">
        <v>10</v>
      </c>
      <c r="AA13" s="79">
        <v>10</v>
      </c>
      <c r="AB13" s="79">
        <v>10</v>
      </c>
      <c r="AC13" s="79">
        <v>10</v>
      </c>
      <c r="AD13" s="83"/>
      <c r="AE13" s="79">
        <v>10</v>
      </c>
      <c r="AF13" s="79">
        <v>10</v>
      </c>
      <c r="AG13" s="79">
        <v>10</v>
      </c>
      <c r="AH13" s="79">
        <v>10</v>
      </c>
      <c r="AI13" s="79">
        <v>10</v>
      </c>
      <c r="AJ13" s="79">
        <v>10</v>
      </c>
      <c r="AK13" s="80">
        <v>10</v>
      </c>
      <c r="AL13" s="79">
        <v>10</v>
      </c>
      <c r="AM13" s="87">
        <v>10</v>
      </c>
      <c r="AN13" s="87">
        <v>10</v>
      </c>
      <c r="AO13" s="81">
        <v>0</v>
      </c>
      <c r="AP13" s="81">
        <v>0</v>
      </c>
      <c r="AQ13" s="69">
        <f t="shared" si="1"/>
        <v>290</v>
      </c>
      <c r="AR13" s="72">
        <v>2</v>
      </c>
      <c r="AS13" s="89">
        <f t="shared" si="2"/>
        <v>30</v>
      </c>
      <c r="AT13" s="1"/>
      <c r="AU13" s="2"/>
      <c r="AV13" s="76">
        <f t="shared" si="0"/>
        <v>6930</v>
      </c>
    </row>
    <row r="14" spans="1:48" x14ac:dyDescent="0.45">
      <c r="A14" s="10">
        <v>12</v>
      </c>
      <c r="B14" s="17">
        <v>2351621194</v>
      </c>
      <c r="C14" s="18">
        <v>548908860</v>
      </c>
      <c r="D14" s="26" t="s">
        <v>14</v>
      </c>
      <c r="E14" s="47" t="s">
        <v>41</v>
      </c>
      <c r="F14" s="19" t="s">
        <v>10</v>
      </c>
      <c r="G14" s="49">
        <v>18</v>
      </c>
      <c r="H14" s="79">
        <v>10</v>
      </c>
      <c r="I14" s="83"/>
      <c r="J14" s="79">
        <v>10</v>
      </c>
      <c r="K14" s="79">
        <v>10</v>
      </c>
      <c r="L14" s="79">
        <v>10</v>
      </c>
      <c r="M14" s="79">
        <v>10</v>
      </c>
      <c r="N14" s="79">
        <v>10</v>
      </c>
      <c r="O14" s="79">
        <v>10</v>
      </c>
      <c r="P14" s="83"/>
      <c r="Q14" s="79">
        <v>10</v>
      </c>
      <c r="R14" s="79">
        <v>10</v>
      </c>
      <c r="S14" s="79">
        <v>10</v>
      </c>
      <c r="T14" s="79">
        <v>10</v>
      </c>
      <c r="U14" s="79">
        <v>10</v>
      </c>
      <c r="V14" s="79">
        <v>10</v>
      </c>
      <c r="W14" s="83"/>
      <c r="X14" s="79">
        <v>10</v>
      </c>
      <c r="Y14" s="79">
        <v>10</v>
      </c>
      <c r="Z14" s="79">
        <v>10</v>
      </c>
      <c r="AA14" s="79">
        <v>10</v>
      </c>
      <c r="AB14" s="79">
        <v>10</v>
      </c>
      <c r="AC14" s="79">
        <v>10</v>
      </c>
      <c r="AD14" s="83"/>
      <c r="AE14" s="79">
        <v>10</v>
      </c>
      <c r="AF14" s="79">
        <v>10</v>
      </c>
      <c r="AG14" s="79">
        <v>10</v>
      </c>
      <c r="AH14" s="79">
        <v>10</v>
      </c>
      <c r="AI14" s="79">
        <v>10</v>
      </c>
      <c r="AJ14" s="79">
        <v>10</v>
      </c>
      <c r="AK14" s="80">
        <v>10</v>
      </c>
      <c r="AL14" s="79">
        <v>10</v>
      </c>
      <c r="AM14" s="87">
        <v>10</v>
      </c>
      <c r="AN14" s="87">
        <v>10</v>
      </c>
      <c r="AO14" s="87">
        <v>10</v>
      </c>
      <c r="AP14" s="81">
        <v>0</v>
      </c>
      <c r="AQ14" s="69">
        <f t="shared" si="1"/>
        <v>300</v>
      </c>
      <c r="AR14" s="72">
        <v>1</v>
      </c>
      <c r="AS14" s="89">
        <f t="shared" si="2"/>
        <v>15</v>
      </c>
      <c r="AT14" s="1"/>
      <c r="AU14" s="2"/>
      <c r="AV14" s="76">
        <f t="shared" si="0"/>
        <v>5385</v>
      </c>
    </row>
    <row r="15" spans="1:48" x14ac:dyDescent="0.35">
      <c r="A15" s="10">
        <v>13</v>
      </c>
      <c r="B15" s="17">
        <v>2512006061</v>
      </c>
      <c r="C15" s="18">
        <v>571088456</v>
      </c>
      <c r="D15" s="26" t="s">
        <v>15</v>
      </c>
      <c r="E15" s="47" t="s">
        <v>41</v>
      </c>
      <c r="F15" s="19" t="s">
        <v>10</v>
      </c>
      <c r="G15" s="49">
        <v>18</v>
      </c>
      <c r="H15" s="54">
        <v>0</v>
      </c>
      <c r="I15" s="5"/>
      <c r="J15" s="54">
        <v>0</v>
      </c>
      <c r="K15" s="54">
        <v>0</v>
      </c>
      <c r="L15" s="54">
        <v>0</v>
      </c>
      <c r="M15" s="54">
        <v>0</v>
      </c>
      <c r="N15" s="54">
        <v>0</v>
      </c>
      <c r="O15" s="54">
        <v>0</v>
      </c>
      <c r="P15" s="5"/>
      <c r="Q15" s="54">
        <v>0</v>
      </c>
      <c r="R15" s="54">
        <v>0</v>
      </c>
      <c r="S15" s="54">
        <v>0</v>
      </c>
      <c r="T15" s="54">
        <v>0</v>
      </c>
      <c r="U15" s="54">
        <v>0</v>
      </c>
      <c r="V15" s="54">
        <v>0</v>
      </c>
      <c r="W15" s="5"/>
      <c r="X15" s="54">
        <v>0</v>
      </c>
      <c r="Y15" s="54">
        <v>0</v>
      </c>
      <c r="Z15" s="54">
        <v>0</v>
      </c>
      <c r="AA15" s="54">
        <v>0</v>
      </c>
      <c r="AB15" s="54">
        <v>0</v>
      </c>
      <c r="AC15" s="54">
        <v>0</v>
      </c>
      <c r="AD15" s="5"/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"/>
      <c r="AL15" s="54">
        <v>0</v>
      </c>
      <c r="AM15" s="54">
        <v>0</v>
      </c>
      <c r="AN15" s="54">
        <v>0</v>
      </c>
      <c r="AO15" s="54">
        <v>0</v>
      </c>
      <c r="AP15" s="54">
        <v>0</v>
      </c>
      <c r="AQ15" s="69">
        <f t="shared" si="1"/>
        <v>0</v>
      </c>
      <c r="AR15" s="72"/>
      <c r="AS15" s="89">
        <f t="shared" si="2"/>
        <v>0</v>
      </c>
      <c r="AT15" s="1"/>
      <c r="AU15" s="2"/>
      <c r="AV15" s="76">
        <f t="shared" si="0"/>
        <v>0</v>
      </c>
    </row>
    <row r="16" spans="1:48" x14ac:dyDescent="0.45">
      <c r="A16" s="10">
        <v>14</v>
      </c>
      <c r="B16" s="17">
        <v>2584914788</v>
      </c>
      <c r="C16" s="18">
        <v>566029581</v>
      </c>
      <c r="D16" s="26" t="s">
        <v>16</v>
      </c>
      <c r="E16" s="47" t="s">
        <v>41</v>
      </c>
      <c r="F16" s="19" t="s">
        <v>10</v>
      </c>
      <c r="G16" s="49">
        <v>18</v>
      </c>
      <c r="H16" s="79">
        <v>10</v>
      </c>
      <c r="I16" s="83"/>
      <c r="J16" s="79">
        <v>10</v>
      </c>
      <c r="K16" s="79">
        <v>10</v>
      </c>
      <c r="L16" s="81">
        <v>0</v>
      </c>
      <c r="M16" s="79">
        <v>10</v>
      </c>
      <c r="N16" s="79">
        <v>10</v>
      </c>
      <c r="O16" s="79">
        <v>10</v>
      </c>
      <c r="P16" s="83"/>
      <c r="Q16" s="79">
        <v>10</v>
      </c>
      <c r="R16" s="79">
        <v>10</v>
      </c>
      <c r="S16" s="79">
        <v>10</v>
      </c>
      <c r="T16" s="79">
        <v>10</v>
      </c>
      <c r="U16" s="79">
        <v>10</v>
      </c>
      <c r="V16" s="79">
        <v>10</v>
      </c>
      <c r="W16" s="83"/>
      <c r="X16" s="79">
        <v>10</v>
      </c>
      <c r="Y16" s="79">
        <v>10</v>
      </c>
      <c r="Z16" s="79">
        <v>10</v>
      </c>
      <c r="AA16" s="79">
        <v>10</v>
      </c>
      <c r="AB16" s="79">
        <v>10</v>
      </c>
      <c r="AC16" s="79">
        <v>10</v>
      </c>
      <c r="AD16" s="83"/>
      <c r="AE16" s="79">
        <v>10</v>
      </c>
      <c r="AF16" s="79">
        <v>10</v>
      </c>
      <c r="AG16" s="79">
        <v>10</v>
      </c>
      <c r="AH16" s="79">
        <v>10</v>
      </c>
      <c r="AI16" s="79">
        <v>10</v>
      </c>
      <c r="AJ16" s="79">
        <v>10</v>
      </c>
      <c r="AK16" s="80">
        <v>10</v>
      </c>
      <c r="AL16" s="79">
        <v>10</v>
      </c>
      <c r="AM16" s="87">
        <v>10</v>
      </c>
      <c r="AN16" s="87">
        <v>10</v>
      </c>
      <c r="AO16" s="87">
        <v>10</v>
      </c>
      <c r="AP16" s="81">
        <v>0</v>
      </c>
      <c r="AQ16" s="69">
        <f t="shared" si="1"/>
        <v>290</v>
      </c>
      <c r="AR16" s="72">
        <v>1</v>
      </c>
      <c r="AS16" s="89">
        <f t="shared" si="2"/>
        <v>15</v>
      </c>
      <c r="AT16" s="1"/>
      <c r="AU16" s="2"/>
      <c r="AV16" s="76">
        <f t="shared" si="0"/>
        <v>5205</v>
      </c>
    </row>
    <row r="17" spans="1:48" x14ac:dyDescent="0.45">
      <c r="A17" s="10">
        <v>15</v>
      </c>
      <c r="B17" s="17">
        <v>2511001477</v>
      </c>
      <c r="C17" s="18">
        <v>570175745</v>
      </c>
      <c r="D17" s="26" t="s">
        <v>17</v>
      </c>
      <c r="E17" s="47" t="s">
        <v>41</v>
      </c>
      <c r="F17" s="19" t="s">
        <v>10</v>
      </c>
      <c r="G17" s="49">
        <v>18</v>
      </c>
      <c r="H17" s="79">
        <v>10</v>
      </c>
      <c r="I17" s="83"/>
      <c r="J17" s="79">
        <v>10</v>
      </c>
      <c r="K17" s="79">
        <v>10</v>
      </c>
      <c r="L17" s="79">
        <v>10</v>
      </c>
      <c r="M17" s="79">
        <v>10</v>
      </c>
      <c r="N17" s="81">
        <v>0</v>
      </c>
      <c r="O17" s="79">
        <v>10</v>
      </c>
      <c r="P17" s="83"/>
      <c r="Q17" s="79">
        <v>10</v>
      </c>
      <c r="R17" s="79">
        <v>10</v>
      </c>
      <c r="S17" s="79">
        <v>10</v>
      </c>
      <c r="T17" s="79">
        <v>10</v>
      </c>
      <c r="U17" s="79">
        <v>10</v>
      </c>
      <c r="V17" s="79">
        <v>10</v>
      </c>
      <c r="W17" s="83"/>
      <c r="X17" s="79">
        <v>10</v>
      </c>
      <c r="Y17" s="79">
        <v>10</v>
      </c>
      <c r="Z17" s="79">
        <v>10</v>
      </c>
      <c r="AA17" s="79">
        <v>10</v>
      </c>
      <c r="AB17" s="79">
        <v>10</v>
      </c>
      <c r="AC17" s="79">
        <v>10</v>
      </c>
      <c r="AD17" s="83"/>
      <c r="AE17" s="79">
        <v>10</v>
      </c>
      <c r="AF17" s="79">
        <v>10</v>
      </c>
      <c r="AG17" s="79">
        <v>10</v>
      </c>
      <c r="AH17" s="79">
        <v>10</v>
      </c>
      <c r="AI17" s="79">
        <v>10</v>
      </c>
      <c r="AJ17" s="79">
        <v>10</v>
      </c>
      <c r="AK17" s="80">
        <v>10</v>
      </c>
      <c r="AL17" s="79">
        <v>10</v>
      </c>
      <c r="AM17" s="81">
        <v>0</v>
      </c>
      <c r="AN17" s="87">
        <v>10</v>
      </c>
      <c r="AO17" s="87">
        <v>10</v>
      </c>
      <c r="AP17" s="81">
        <v>0</v>
      </c>
      <c r="AQ17" s="69">
        <f t="shared" si="1"/>
        <v>280</v>
      </c>
      <c r="AR17" s="72">
        <v>2</v>
      </c>
      <c r="AS17" s="89">
        <f t="shared" si="2"/>
        <v>30</v>
      </c>
      <c r="AT17" s="1"/>
      <c r="AU17" s="2"/>
      <c r="AV17" s="76">
        <f t="shared" si="0"/>
        <v>5010</v>
      </c>
    </row>
    <row r="18" spans="1:48" x14ac:dyDescent="0.35">
      <c r="A18" s="10">
        <v>16</v>
      </c>
      <c r="B18" s="17">
        <v>2525961462</v>
      </c>
      <c r="C18" s="18">
        <v>536843762</v>
      </c>
      <c r="D18" s="26" t="s">
        <v>18</v>
      </c>
      <c r="E18" s="47" t="s">
        <v>41</v>
      </c>
      <c r="F18" s="19" t="s">
        <v>10</v>
      </c>
      <c r="G18" s="49">
        <v>18</v>
      </c>
      <c r="H18" s="54">
        <v>0</v>
      </c>
      <c r="I18" s="5"/>
      <c r="J18" s="54">
        <v>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5"/>
      <c r="Q18" s="54">
        <v>0</v>
      </c>
      <c r="R18" s="54">
        <v>0</v>
      </c>
      <c r="S18" s="54">
        <v>0</v>
      </c>
      <c r="T18" s="54">
        <v>0</v>
      </c>
      <c r="U18" s="54">
        <v>0</v>
      </c>
      <c r="V18" s="54">
        <v>0</v>
      </c>
      <c r="W18" s="5"/>
      <c r="X18" s="54">
        <v>0</v>
      </c>
      <c r="Y18" s="54">
        <v>0</v>
      </c>
      <c r="Z18" s="54">
        <v>0</v>
      </c>
      <c r="AA18" s="54">
        <v>0</v>
      </c>
      <c r="AB18" s="54">
        <v>0</v>
      </c>
      <c r="AC18" s="54">
        <v>0</v>
      </c>
      <c r="AD18" s="5"/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"/>
      <c r="AL18" s="54">
        <v>0</v>
      </c>
      <c r="AM18" s="54">
        <v>0</v>
      </c>
      <c r="AN18" s="54">
        <v>0</v>
      </c>
      <c r="AO18" s="54">
        <v>0</v>
      </c>
      <c r="AP18" s="54">
        <v>0</v>
      </c>
      <c r="AQ18" s="69">
        <f t="shared" si="1"/>
        <v>0</v>
      </c>
      <c r="AR18" s="72"/>
      <c r="AS18" s="89">
        <f t="shared" si="2"/>
        <v>0</v>
      </c>
      <c r="AT18" s="1"/>
      <c r="AU18" s="2"/>
      <c r="AV18" s="76">
        <f t="shared" si="0"/>
        <v>0</v>
      </c>
    </row>
    <row r="19" spans="1:48" x14ac:dyDescent="0.35">
      <c r="A19" s="10">
        <v>17</v>
      </c>
      <c r="B19" s="17">
        <v>2500977513</v>
      </c>
      <c r="C19" s="18">
        <v>507917686</v>
      </c>
      <c r="D19" s="26" t="s">
        <v>19</v>
      </c>
      <c r="E19" s="47" t="s">
        <v>41</v>
      </c>
      <c r="F19" s="19" t="s">
        <v>10</v>
      </c>
      <c r="G19" s="49">
        <v>18</v>
      </c>
      <c r="H19" s="54">
        <v>0</v>
      </c>
      <c r="I19" s="5"/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4">
        <v>0</v>
      </c>
      <c r="P19" s="5"/>
      <c r="Q19" s="54">
        <v>0</v>
      </c>
      <c r="R19" s="54">
        <v>0</v>
      </c>
      <c r="S19" s="54">
        <v>0</v>
      </c>
      <c r="T19" s="54">
        <v>0</v>
      </c>
      <c r="U19" s="54">
        <v>0</v>
      </c>
      <c r="V19" s="54">
        <v>0</v>
      </c>
      <c r="W19" s="5"/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0</v>
      </c>
      <c r="AD19" s="5"/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"/>
      <c r="AL19" s="54">
        <v>0</v>
      </c>
      <c r="AM19" s="54">
        <v>0</v>
      </c>
      <c r="AN19" s="54">
        <v>0</v>
      </c>
      <c r="AO19" s="54">
        <v>0</v>
      </c>
      <c r="AP19" s="54">
        <v>0</v>
      </c>
      <c r="AQ19" s="69">
        <f t="shared" si="1"/>
        <v>0</v>
      </c>
      <c r="AR19" s="72"/>
      <c r="AS19" s="89">
        <f t="shared" si="2"/>
        <v>0</v>
      </c>
      <c r="AT19" s="1"/>
      <c r="AU19" s="2"/>
      <c r="AV19" s="76">
        <f t="shared" si="0"/>
        <v>0</v>
      </c>
    </row>
    <row r="20" spans="1:48" x14ac:dyDescent="0.45">
      <c r="A20" s="10">
        <v>18</v>
      </c>
      <c r="B20" s="17">
        <v>2396757937</v>
      </c>
      <c r="C20" s="18">
        <v>530188764</v>
      </c>
      <c r="D20" s="26" t="s">
        <v>20</v>
      </c>
      <c r="E20" s="47" t="s">
        <v>41</v>
      </c>
      <c r="F20" s="19" t="s">
        <v>10</v>
      </c>
      <c r="G20" s="49">
        <v>18</v>
      </c>
      <c r="H20" s="79">
        <v>10</v>
      </c>
      <c r="I20" s="83"/>
      <c r="J20" s="79">
        <v>10</v>
      </c>
      <c r="K20" s="79">
        <v>10</v>
      </c>
      <c r="L20" s="79">
        <v>10</v>
      </c>
      <c r="M20" s="79">
        <v>10</v>
      </c>
      <c r="N20" s="79">
        <v>10</v>
      </c>
      <c r="O20" s="79">
        <v>10</v>
      </c>
      <c r="P20" s="83"/>
      <c r="Q20" s="79">
        <v>10</v>
      </c>
      <c r="R20" s="79">
        <v>10</v>
      </c>
      <c r="S20" s="79">
        <v>10</v>
      </c>
      <c r="T20" s="79">
        <v>10</v>
      </c>
      <c r="U20" s="79">
        <v>10</v>
      </c>
      <c r="V20" s="79">
        <v>10</v>
      </c>
      <c r="W20" s="83"/>
      <c r="X20" s="79">
        <v>10</v>
      </c>
      <c r="Y20" s="79">
        <v>10</v>
      </c>
      <c r="Z20" s="79">
        <v>10</v>
      </c>
      <c r="AA20" s="79">
        <v>10</v>
      </c>
      <c r="AB20" s="79">
        <v>10</v>
      </c>
      <c r="AC20" s="79">
        <v>10</v>
      </c>
      <c r="AD20" s="83"/>
      <c r="AE20" s="79">
        <v>10</v>
      </c>
      <c r="AF20" s="79">
        <v>10</v>
      </c>
      <c r="AG20" s="79">
        <v>10</v>
      </c>
      <c r="AH20" s="79">
        <v>10</v>
      </c>
      <c r="AI20" s="79">
        <v>10</v>
      </c>
      <c r="AJ20" s="79">
        <v>10</v>
      </c>
      <c r="AK20" s="80">
        <v>10</v>
      </c>
      <c r="AL20" s="79">
        <v>10</v>
      </c>
      <c r="AM20" s="87">
        <v>10</v>
      </c>
      <c r="AN20" s="87">
        <v>10</v>
      </c>
      <c r="AO20" s="87">
        <v>10</v>
      </c>
      <c r="AP20" s="81">
        <v>0</v>
      </c>
      <c r="AQ20" s="69">
        <f t="shared" si="1"/>
        <v>300</v>
      </c>
      <c r="AR20" s="72">
        <v>1</v>
      </c>
      <c r="AS20" s="89">
        <f t="shared" si="2"/>
        <v>15</v>
      </c>
      <c r="AT20" s="1"/>
      <c r="AU20" s="2"/>
      <c r="AV20" s="76">
        <f t="shared" si="0"/>
        <v>5385</v>
      </c>
    </row>
    <row r="21" spans="1:48" x14ac:dyDescent="0.45">
      <c r="A21" s="10">
        <v>19</v>
      </c>
      <c r="B21" s="17">
        <v>2504414625</v>
      </c>
      <c r="C21" s="18">
        <v>539598043</v>
      </c>
      <c r="D21" s="26" t="s">
        <v>21</v>
      </c>
      <c r="E21" s="47" t="s">
        <v>41</v>
      </c>
      <c r="F21" s="19" t="s">
        <v>10</v>
      </c>
      <c r="G21" s="49">
        <v>18</v>
      </c>
      <c r="H21" s="81">
        <v>0</v>
      </c>
      <c r="I21" s="83"/>
      <c r="J21" s="79">
        <v>10</v>
      </c>
      <c r="K21" s="79">
        <v>10</v>
      </c>
      <c r="L21" s="79">
        <v>10</v>
      </c>
      <c r="M21" s="79">
        <v>10</v>
      </c>
      <c r="N21" s="79">
        <v>10</v>
      </c>
      <c r="O21" s="79">
        <v>10</v>
      </c>
      <c r="P21" s="83"/>
      <c r="Q21" s="79">
        <v>10</v>
      </c>
      <c r="R21" s="79">
        <v>10</v>
      </c>
      <c r="S21" s="79">
        <v>10</v>
      </c>
      <c r="T21" s="79">
        <v>10</v>
      </c>
      <c r="U21" s="79">
        <v>10</v>
      </c>
      <c r="V21" s="81">
        <v>0</v>
      </c>
      <c r="W21" s="83"/>
      <c r="X21" s="79">
        <v>10</v>
      </c>
      <c r="Y21" s="79">
        <v>10</v>
      </c>
      <c r="Z21" s="79">
        <v>10</v>
      </c>
      <c r="AA21" s="79">
        <v>10</v>
      </c>
      <c r="AB21" s="79">
        <v>10</v>
      </c>
      <c r="AC21" s="79">
        <v>10</v>
      </c>
      <c r="AD21" s="83"/>
      <c r="AE21" s="79">
        <v>10</v>
      </c>
      <c r="AF21" s="79">
        <v>10</v>
      </c>
      <c r="AG21" s="79">
        <v>10</v>
      </c>
      <c r="AH21" s="79">
        <v>10</v>
      </c>
      <c r="AI21" s="81">
        <v>0</v>
      </c>
      <c r="AJ21" s="79">
        <v>10</v>
      </c>
      <c r="AK21" s="80">
        <v>10</v>
      </c>
      <c r="AL21" s="81">
        <v>0</v>
      </c>
      <c r="AM21" s="87">
        <v>10</v>
      </c>
      <c r="AN21" s="87">
        <v>10</v>
      </c>
      <c r="AO21" s="87">
        <v>10</v>
      </c>
      <c r="AP21" s="81">
        <v>0</v>
      </c>
      <c r="AQ21" s="69">
        <f t="shared" si="1"/>
        <v>260</v>
      </c>
      <c r="AR21" s="72">
        <v>5</v>
      </c>
      <c r="AS21" s="89">
        <f t="shared" si="2"/>
        <v>75</v>
      </c>
      <c r="AT21" s="1"/>
      <c r="AU21" s="2"/>
      <c r="AV21" s="76">
        <f t="shared" si="0"/>
        <v>4605</v>
      </c>
    </row>
    <row r="22" spans="1:48" x14ac:dyDescent="0.45">
      <c r="A22" s="10">
        <v>20</v>
      </c>
      <c r="B22" s="17">
        <v>2526139098</v>
      </c>
      <c r="C22" s="18">
        <v>538934330</v>
      </c>
      <c r="D22" s="26" t="s">
        <v>22</v>
      </c>
      <c r="E22" s="47" t="s">
        <v>41</v>
      </c>
      <c r="F22" s="19" t="s">
        <v>10</v>
      </c>
      <c r="G22" s="49">
        <v>18</v>
      </c>
      <c r="H22" s="79">
        <v>10</v>
      </c>
      <c r="I22" s="83"/>
      <c r="J22" s="79">
        <v>10</v>
      </c>
      <c r="K22" s="81">
        <v>0</v>
      </c>
      <c r="L22" s="79">
        <v>10</v>
      </c>
      <c r="M22" s="79">
        <v>10</v>
      </c>
      <c r="N22" s="81">
        <v>0</v>
      </c>
      <c r="O22" s="79">
        <v>10</v>
      </c>
      <c r="P22" s="83"/>
      <c r="Q22" s="79">
        <v>10</v>
      </c>
      <c r="R22" s="79">
        <v>10</v>
      </c>
      <c r="S22" s="79">
        <v>10</v>
      </c>
      <c r="T22" s="79">
        <v>10</v>
      </c>
      <c r="U22" s="79">
        <v>10</v>
      </c>
      <c r="V22" s="81">
        <v>0</v>
      </c>
      <c r="W22" s="83"/>
      <c r="X22" s="79">
        <v>10</v>
      </c>
      <c r="Y22" s="79">
        <v>10</v>
      </c>
      <c r="Z22" s="79">
        <v>10</v>
      </c>
      <c r="AA22" s="79">
        <v>10</v>
      </c>
      <c r="AB22" s="79">
        <v>10</v>
      </c>
      <c r="AC22" s="79">
        <v>10</v>
      </c>
      <c r="AD22" s="83"/>
      <c r="AE22" s="79">
        <v>10</v>
      </c>
      <c r="AF22" s="79">
        <v>10</v>
      </c>
      <c r="AG22" s="81">
        <v>0</v>
      </c>
      <c r="AH22" s="79">
        <v>10</v>
      </c>
      <c r="AI22" s="81">
        <v>0</v>
      </c>
      <c r="AJ22" s="79">
        <v>10</v>
      </c>
      <c r="AK22" s="80">
        <v>10</v>
      </c>
      <c r="AL22" s="81">
        <v>0</v>
      </c>
      <c r="AM22" s="87">
        <v>10</v>
      </c>
      <c r="AN22" s="81">
        <v>0</v>
      </c>
      <c r="AO22" s="87">
        <v>10</v>
      </c>
      <c r="AP22" s="81">
        <v>0</v>
      </c>
      <c r="AQ22" s="69">
        <f t="shared" si="1"/>
        <v>230</v>
      </c>
      <c r="AR22" s="72">
        <v>8</v>
      </c>
      <c r="AS22" s="89">
        <f t="shared" si="2"/>
        <v>120</v>
      </c>
      <c r="AT22" s="1"/>
      <c r="AU22" s="2"/>
      <c r="AV22" s="76">
        <f t="shared" si="0"/>
        <v>4020</v>
      </c>
    </row>
    <row r="23" spans="1:48" x14ac:dyDescent="0.45">
      <c r="A23" s="10">
        <v>21</v>
      </c>
      <c r="B23" s="17">
        <v>2499596977</v>
      </c>
      <c r="C23" s="18">
        <v>540861334</v>
      </c>
      <c r="D23" s="26" t="s">
        <v>24</v>
      </c>
      <c r="E23" s="47" t="s">
        <v>41</v>
      </c>
      <c r="F23" s="19" t="s">
        <v>10</v>
      </c>
      <c r="G23" s="49">
        <v>18</v>
      </c>
      <c r="H23" s="79">
        <v>10</v>
      </c>
      <c r="I23" s="83"/>
      <c r="J23" s="81">
        <v>0</v>
      </c>
      <c r="K23" s="79">
        <v>10</v>
      </c>
      <c r="L23" s="79">
        <v>10</v>
      </c>
      <c r="M23" s="79">
        <v>10</v>
      </c>
      <c r="N23" s="79">
        <v>10</v>
      </c>
      <c r="O23" s="79">
        <v>10</v>
      </c>
      <c r="P23" s="83"/>
      <c r="Q23" s="79">
        <v>10</v>
      </c>
      <c r="R23" s="79">
        <v>10</v>
      </c>
      <c r="S23" s="79">
        <v>10</v>
      </c>
      <c r="T23" s="79">
        <v>10</v>
      </c>
      <c r="U23" s="79">
        <v>10</v>
      </c>
      <c r="V23" s="81">
        <v>0</v>
      </c>
      <c r="W23" s="83"/>
      <c r="X23" s="79">
        <v>10</v>
      </c>
      <c r="Y23" s="79">
        <v>10</v>
      </c>
      <c r="Z23" s="79">
        <v>10</v>
      </c>
      <c r="AA23" s="79">
        <v>10</v>
      </c>
      <c r="AB23" s="79">
        <v>10</v>
      </c>
      <c r="AC23" s="79">
        <v>10</v>
      </c>
      <c r="AD23" s="83"/>
      <c r="AE23" s="79">
        <v>10</v>
      </c>
      <c r="AF23" s="79">
        <v>10</v>
      </c>
      <c r="AG23" s="79">
        <v>10</v>
      </c>
      <c r="AH23" s="79">
        <v>10</v>
      </c>
      <c r="AI23" s="79">
        <v>10</v>
      </c>
      <c r="AJ23" s="79">
        <v>10</v>
      </c>
      <c r="AK23" s="80">
        <v>10</v>
      </c>
      <c r="AL23" s="79">
        <v>10</v>
      </c>
      <c r="AM23" s="85">
        <v>0</v>
      </c>
      <c r="AN23" s="85">
        <v>0</v>
      </c>
      <c r="AO23" s="85">
        <v>0</v>
      </c>
      <c r="AP23" s="85">
        <v>0</v>
      </c>
      <c r="AQ23" s="69">
        <f t="shared" si="1"/>
        <v>250</v>
      </c>
      <c r="AR23" s="72">
        <v>3</v>
      </c>
      <c r="AS23" s="89">
        <f t="shared" si="2"/>
        <v>45</v>
      </c>
      <c r="AT23" s="1"/>
      <c r="AU23" s="2"/>
      <c r="AV23" s="76">
        <f t="shared" si="0"/>
        <v>4455</v>
      </c>
    </row>
    <row r="24" spans="1:48" x14ac:dyDescent="0.45">
      <c r="A24" s="10">
        <v>22</v>
      </c>
      <c r="B24" s="17">
        <v>2588969063</v>
      </c>
      <c r="C24" s="18">
        <v>573885688</v>
      </c>
      <c r="D24" s="26" t="s">
        <v>25</v>
      </c>
      <c r="E24" s="47" t="s">
        <v>41</v>
      </c>
      <c r="F24" s="19" t="s">
        <v>10</v>
      </c>
      <c r="G24" s="49">
        <v>18</v>
      </c>
      <c r="H24" s="79">
        <v>10</v>
      </c>
      <c r="I24" s="83"/>
      <c r="J24" s="79">
        <v>10</v>
      </c>
      <c r="K24" s="79">
        <v>10</v>
      </c>
      <c r="L24" s="79">
        <v>10</v>
      </c>
      <c r="M24" s="79">
        <v>10</v>
      </c>
      <c r="N24" s="79">
        <v>10</v>
      </c>
      <c r="O24" s="79">
        <v>10</v>
      </c>
      <c r="P24" s="83"/>
      <c r="Q24" s="79">
        <v>10</v>
      </c>
      <c r="R24" s="79">
        <v>10</v>
      </c>
      <c r="S24" s="79">
        <v>10</v>
      </c>
      <c r="T24" s="79">
        <v>10</v>
      </c>
      <c r="U24" s="79">
        <v>10</v>
      </c>
      <c r="V24" s="81">
        <v>0</v>
      </c>
      <c r="W24" s="83"/>
      <c r="X24" s="79">
        <v>10</v>
      </c>
      <c r="Y24" s="79">
        <v>10</v>
      </c>
      <c r="Z24" s="79">
        <v>10</v>
      </c>
      <c r="AA24" s="79">
        <v>10</v>
      </c>
      <c r="AB24" s="79">
        <v>10</v>
      </c>
      <c r="AC24" s="79">
        <v>10</v>
      </c>
      <c r="AD24" s="83"/>
      <c r="AE24" s="79">
        <v>10</v>
      </c>
      <c r="AF24" s="79">
        <v>10</v>
      </c>
      <c r="AG24" s="79">
        <v>10</v>
      </c>
      <c r="AH24" s="79">
        <v>10</v>
      </c>
      <c r="AI24" s="81">
        <v>0</v>
      </c>
      <c r="AJ24" s="79">
        <v>10</v>
      </c>
      <c r="AK24" s="80">
        <v>10</v>
      </c>
      <c r="AL24" s="79">
        <v>10</v>
      </c>
      <c r="AM24" s="87">
        <v>10</v>
      </c>
      <c r="AN24" s="81">
        <v>0</v>
      </c>
      <c r="AO24" s="87">
        <v>10</v>
      </c>
      <c r="AP24" s="81">
        <v>0</v>
      </c>
      <c r="AQ24" s="69">
        <f t="shared" si="1"/>
        <v>270</v>
      </c>
      <c r="AR24" s="72">
        <v>4</v>
      </c>
      <c r="AS24" s="89">
        <f t="shared" si="2"/>
        <v>60</v>
      </c>
      <c r="AT24" s="1"/>
      <c r="AU24" s="2"/>
      <c r="AV24" s="76">
        <f t="shared" si="0"/>
        <v>4800</v>
      </c>
    </row>
    <row r="25" spans="1:48" x14ac:dyDescent="0.45">
      <c r="A25" s="10">
        <v>23</v>
      </c>
      <c r="B25" s="17">
        <v>2531566731</v>
      </c>
      <c r="C25" s="18">
        <v>553562408</v>
      </c>
      <c r="D25" s="26" t="s">
        <v>26</v>
      </c>
      <c r="E25" s="47" t="s">
        <v>41</v>
      </c>
      <c r="F25" s="19" t="s">
        <v>10</v>
      </c>
      <c r="G25" s="49">
        <v>18</v>
      </c>
      <c r="H25" s="81">
        <v>0</v>
      </c>
      <c r="I25" s="83"/>
      <c r="J25" s="79">
        <v>10</v>
      </c>
      <c r="K25" s="79">
        <v>10</v>
      </c>
      <c r="L25" s="79">
        <v>10</v>
      </c>
      <c r="M25" s="79">
        <v>10</v>
      </c>
      <c r="N25" s="79">
        <v>10</v>
      </c>
      <c r="O25" s="79">
        <v>10</v>
      </c>
      <c r="P25" s="83"/>
      <c r="Q25" s="79">
        <v>10</v>
      </c>
      <c r="R25" s="79">
        <v>10</v>
      </c>
      <c r="S25" s="79">
        <v>10</v>
      </c>
      <c r="T25" s="79">
        <v>10</v>
      </c>
      <c r="U25" s="79">
        <v>10</v>
      </c>
      <c r="V25" s="79">
        <v>10</v>
      </c>
      <c r="W25" s="83"/>
      <c r="X25" s="79">
        <v>10</v>
      </c>
      <c r="Y25" s="79">
        <v>10</v>
      </c>
      <c r="Z25" s="79">
        <v>10</v>
      </c>
      <c r="AA25" s="79">
        <v>10</v>
      </c>
      <c r="AB25" s="79">
        <v>10</v>
      </c>
      <c r="AC25" s="79">
        <v>10</v>
      </c>
      <c r="AD25" s="83"/>
      <c r="AE25" s="79">
        <v>10</v>
      </c>
      <c r="AF25" s="79">
        <v>10</v>
      </c>
      <c r="AG25" s="79">
        <v>10</v>
      </c>
      <c r="AH25" s="79">
        <v>10</v>
      </c>
      <c r="AI25" s="79">
        <v>10</v>
      </c>
      <c r="AJ25" s="79">
        <v>10</v>
      </c>
      <c r="AK25" s="80">
        <v>10</v>
      </c>
      <c r="AL25" s="79">
        <v>10</v>
      </c>
      <c r="AM25" s="81">
        <v>0</v>
      </c>
      <c r="AN25" s="81">
        <v>0</v>
      </c>
      <c r="AO25" s="87">
        <v>10</v>
      </c>
      <c r="AP25" s="81">
        <v>0</v>
      </c>
      <c r="AQ25" s="69">
        <f t="shared" si="1"/>
        <v>270</v>
      </c>
      <c r="AR25" s="72">
        <v>4</v>
      </c>
      <c r="AS25" s="89">
        <f t="shared" si="2"/>
        <v>60</v>
      </c>
      <c r="AT25" s="1"/>
      <c r="AU25" s="2"/>
      <c r="AV25" s="76">
        <f t="shared" si="0"/>
        <v>4800</v>
      </c>
    </row>
    <row r="26" spans="1:48" x14ac:dyDescent="0.45">
      <c r="A26" s="10">
        <v>24</v>
      </c>
      <c r="B26" s="17">
        <v>2596006599</v>
      </c>
      <c r="C26" s="18">
        <v>558705348</v>
      </c>
      <c r="D26" s="26" t="s">
        <v>28</v>
      </c>
      <c r="E26" s="47" t="s">
        <v>41</v>
      </c>
      <c r="F26" s="19" t="s">
        <v>10</v>
      </c>
      <c r="G26" s="49">
        <v>18</v>
      </c>
      <c r="H26" s="79">
        <v>10</v>
      </c>
      <c r="I26" s="83"/>
      <c r="J26" s="79">
        <v>10</v>
      </c>
      <c r="K26" s="79">
        <v>10</v>
      </c>
      <c r="L26" s="79">
        <v>10</v>
      </c>
      <c r="M26" s="79">
        <v>10</v>
      </c>
      <c r="N26" s="79">
        <v>10</v>
      </c>
      <c r="O26" s="79">
        <v>10</v>
      </c>
      <c r="P26" s="83"/>
      <c r="Q26" s="79">
        <v>10</v>
      </c>
      <c r="R26" s="79">
        <v>10</v>
      </c>
      <c r="S26" s="79">
        <v>10</v>
      </c>
      <c r="T26" s="79">
        <v>10</v>
      </c>
      <c r="U26" s="79">
        <v>10</v>
      </c>
      <c r="V26" s="79">
        <v>10</v>
      </c>
      <c r="W26" s="83"/>
      <c r="X26" s="79">
        <v>10</v>
      </c>
      <c r="Y26" s="79">
        <v>10</v>
      </c>
      <c r="Z26" s="79">
        <v>10</v>
      </c>
      <c r="AA26" s="81">
        <v>0</v>
      </c>
      <c r="AB26" s="79">
        <v>10</v>
      </c>
      <c r="AC26" s="79">
        <v>10</v>
      </c>
      <c r="AD26" s="83"/>
      <c r="AE26" s="79">
        <v>10</v>
      </c>
      <c r="AF26" s="79">
        <v>10</v>
      </c>
      <c r="AG26" s="79">
        <v>10</v>
      </c>
      <c r="AH26" s="79">
        <v>10</v>
      </c>
      <c r="AI26" s="79">
        <v>10</v>
      </c>
      <c r="AJ26" s="79">
        <v>10</v>
      </c>
      <c r="AK26" s="80">
        <v>10</v>
      </c>
      <c r="AL26" s="79">
        <v>10</v>
      </c>
      <c r="AM26" s="87">
        <v>10</v>
      </c>
      <c r="AN26" s="87">
        <v>10</v>
      </c>
      <c r="AO26" s="87">
        <v>10</v>
      </c>
      <c r="AP26" s="81">
        <v>0</v>
      </c>
      <c r="AQ26" s="69">
        <f t="shared" si="1"/>
        <v>290</v>
      </c>
      <c r="AR26" s="72">
        <v>2</v>
      </c>
      <c r="AS26" s="89">
        <f t="shared" si="2"/>
        <v>30</v>
      </c>
      <c r="AT26" s="1"/>
      <c r="AU26" s="2"/>
      <c r="AV26" s="76">
        <f t="shared" si="0"/>
        <v>5190</v>
      </c>
    </row>
    <row r="27" spans="1:48" x14ac:dyDescent="0.45">
      <c r="A27" s="10">
        <v>25</v>
      </c>
      <c r="B27" s="17">
        <v>2169490030</v>
      </c>
      <c r="C27" s="18">
        <v>534740787</v>
      </c>
      <c r="D27" s="26" t="s">
        <v>29</v>
      </c>
      <c r="E27" s="47" t="s">
        <v>41</v>
      </c>
      <c r="F27" s="19" t="s">
        <v>10</v>
      </c>
      <c r="G27" s="49">
        <v>18</v>
      </c>
      <c r="H27" s="79">
        <v>10</v>
      </c>
      <c r="I27" s="83"/>
      <c r="J27" s="79">
        <v>10</v>
      </c>
      <c r="K27" s="79">
        <v>10</v>
      </c>
      <c r="L27" s="79">
        <v>10</v>
      </c>
      <c r="M27" s="79">
        <v>10</v>
      </c>
      <c r="N27" s="79">
        <v>10</v>
      </c>
      <c r="O27" s="79">
        <v>10</v>
      </c>
      <c r="P27" s="83"/>
      <c r="Q27" s="79">
        <v>10</v>
      </c>
      <c r="R27" s="79">
        <v>10</v>
      </c>
      <c r="S27" s="79">
        <v>10</v>
      </c>
      <c r="T27" s="79">
        <v>10</v>
      </c>
      <c r="U27" s="79">
        <v>10</v>
      </c>
      <c r="V27" s="79">
        <v>10</v>
      </c>
      <c r="W27" s="83"/>
      <c r="X27" s="79">
        <v>10</v>
      </c>
      <c r="Y27" s="79">
        <v>10</v>
      </c>
      <c r="Z27" s="79">
        <v>10</v>
      </c>
      <c r="AA27" s="79">
        <v>10</v>
      </c>
      <c r="AB27" s="79">
        <v>10</v>
      </c>
      <c r="AC27" s="79">
        <v>10</v>
      </c>
      <c r="AD27" s="83"/>
      <c r="AE27" s="79">
        <v>10</v>
      </c>
      <c r="AF27" s="79">
        <v>10</v>
      </c>
      <c r="AG27" s="79">
        <v>10</v>
      </c>
      <c r="AH27" s="79">
        <v>10</v>
      </c>
      <c r="AI27" s="79">
        <v>10</v>
      </c>
      <c r="AJ27" s="79">
        <v>10</v>
      </c>
      <c r="AK27" s="80">
        <v>10</v>
      </c>
      <c r="AL27" s="79">
        <v>10</v>
      </c>
      <c r="AM27" s="87">
        <v>10</v>
      </c>
      <c r="AN27" s="87">
        <v>10</v>
      </c>
      <c r="AO27" s="87">
        <v>10</v>
      </c>
      <c r="AP27" s="81">
        <v>0</v>
      </c>
      <c r="AQ27" s="69">
        <f t="shared" si="1"/>
        <v>300</v>
      </c>
      <c r="AR27" s="72">
        <v>1</v>
      </c>
      <c r="AS27" s="89">
        <f t="shared" si="2"/>
        <v>15</v>
      </c>
      <c r="AT27" s="1"/>
      <c r="AU27" s="2"/>
      <c r="AV27" s="76">
        <f t="shared" si="0"/>
        <v>5385</v>
      </c>
    </row>
    <row r="28" spans="1:48" x14ac:dyDescent="0.45">
      <c r="A28" s="10">
        <v>26</v>
      </c>
      <c r="B28" s="17">
        <v>2570432365</v>
      </c>
      <c r="C28" s="18">
        <v>534356929</v>
      </c>
      <c r="D28" s="26" t="s">
        <v>30</v>
      </c>
      <c r="E28" s="47" t="s">
        <v>41</v>
      </c>
      <c r="F28" s="19" t="s">
        <v>10</v>
      </c>
      <c r="G28" s="49">
        <v>18</v>
      </c>
      <c r="H28" s="79">
        <v>10</v>
      </c>
      <c r="I28" s="83"/>
      <c r="J28" s="79">
        <v>10</v>
      </c>
      <c r="K28" s="79">
        <v>10</v>
      </c>
      <c r="L28" s="79">
        <v>10</v>
      </c>
      <c r="M28" s="79">
        <v>10</v>
      </c>
      <c r="N28" s="79">
        <v>10</v>
      </c>
      <c r="O28" s="79">
        <v>10</v>
      </c>
      <c r="P28" s="83"/>
      <c r="Q28" s="79">
        <v>10</v>
      </c>
      <c r="R28" s="81">
        <v>0</v>
      </c>
      <c r="S28" s="79">
        <v>10</v>
      </c>
      <c r="T28" s="79">
        <v>10</v>
      </c>
      <c r="U28" s="79">
        <v>10</v>
      </c>
      <c r="V28" s="79">
        <v>10</v>
      </c>
      <c r="W28" s="83"/>
      <c r="X28" s="79">
        <v>10</v>
      </c>
      <c r="Y28" s="79">
        <v>10</v>
      </c>
      <c r="Z28" s="79">
        <v>10</v>
      </c>
      <c r="AA28" s="79">
        <v>10</v>
      </c>
      <c r="AB28" s="79">
        <v>10</v>
      </c>
      <c r="AC28" s="79">
        <v>10</v>
      </c>
      <c r="AD28" s="83"/>
      <c r="AE28" s="79">
        <v>10</v>
      </c>
      <c r="AF28" s="79">
        <v>10</v>
      </c>
      <c r="AG28" s="79">
        <v>10</v>
      </c>
      <c r="AH28" s="79">
        <v>10</v>
      </c>
      <c r="AI28" s="79">
        <v>10</v>
      </c>
      <c r="AJ28" s="79">
        <v>10</v>
      </c>
      <c r="AK28" s="80"/>
      <c r="AL28" s="79">
        <v>10</v>
      </c>
      <c r="AM28" s="87">
        <v>10</v>
      </c>
      <c r="AN28" s="87">
        <v>10</v>
      </c>
      <c r="AO28" s="87">
        <v>10</v>
      </c>
      <c r="AP28" s="81">
        <v>0</v>
      </c>
      <c r="AQ28" s="69">
        <f t="shared" si="1"/>
        <v>280</v>
      </c>
      <c r="AR28" s="72">
        <v>1</v>
      </c>
      <c r="AS28" s="89">
        <f t="shared" si="2"/>
        <v>15</v>
      </c>
      <c r="AT28" s="1"/>
      <c r="AU28" s="2"/>
      <c r="AV28" s="76">
        <f t="shared" si="0"/>
        <v>5025</v>
      </c>
    </row>
    <row r="29" spans="1:48" x14ac:dyDescent="0.45">
      <c r="A29" s="10">
        <v>27</v>
      </c>
      <c r="B29" s="17">
        <v>2594681823</v>
      </c>
      <c r="C29" s="18">
        <v>556322097</v>
      </c>
      <c r="D29" s="26" t="s">
        <v>32</v>
      </c>
      <c r="E29" s="47" t="s">
        <v>41</v>
      </c>
      <c r="F29" s="19" t="s">
        <v>10</v>
      </c>
      <c r="G29" s="49">
        <v>18</v>
      </c>
      <c r="H29" s="79">
        <v>10</v>
      </c>
      <c r="I29" s="83"/>
      <c r="J29" s="79">
        <v>10</v>
      </c>
      <c r="K29" s="79">
        <v>10</v>
      </c>
      <c r="L29" s="79">
        <v>10</v>
      </c>
      <c r="M29" s="79">
        <v>10</v>
      </c>
      <c r="N29" s="79">
        <v>10</v>
      </c>
      <c r="O29" s="79">
        <v>10</v>
      </c>
      <c r="P29" s="83"/>
      <c r="Q29" s="79">
        <v>10</v>
      </c>
      <c r="R29" s="79">
        <v>10</v>
      </c>
      <c r="S29" s="79">
        <v>10</v>
      </c>
      <c r="T29" s="79">
        <v>10</v>
      </c>
      <c r="U29" s="79">
        <v>10</v>
      </c>
      <c r="V29" s="79">
        <v>10</v>
      </c>
      <c r="W29" s="83"/>
      <c r="X29" s="79">
        <v>10</v>
      </c>
      <c r="Y29" s="79">
        <v>10</v>
      </c>
      <c r="Z29" s="79">
        <v>10</v>
      </c>
      <c r="AA29" s="79">
        <v>10</v>
      </c>
      <c r="AB29" s="79">
        <v>10</v>
      </c>
      <c r="AC29" s="79">
        <v>10</v>
      </c>
      <c r="AD29" s="83"/>
      <c r="AE29" s="79">
        <v>10</v>
      </c>
      <c r="AF29" s="79">
        <v>10</v>
      </c>
      <c r="AG29" s="79">
        <v>10</v>
      </c>
      <c r="AH29" s="79">
        <v>10</v>
      </c>
      <c r="AI29" s="79">
        <v>10</v>
      </c>
      <c r="AJ29" s="79">
        <v>10</v>
      </c>
      <c r="AK29" s="80">
        <v>10</v>
      </c>
      <c r="AL29" s="79">
        <v>10</v>
      </c>
      <c r="AM29" s="87">
        <v>10</v>
      </c>
      <c r="AN29" s="87">
        <v>10</v>
      </c>
      <c r="AO29" s="87">
        <v>10</v>
      </c>
      <c r="AP29" s="81">
        <v>0</v>
      </c>
      <c r="AQ29" s="69">
        <f t="shared" si="1"/>
        <v>300</v>
      </c>
      <c r="AR29" s="72">
        <v>1</v>
      </c>
      <c r="AS29" s="89">
        <f t="shared" si="2"/>
        <v>15</v>
      </c>
      <c r="AT29" s="1"/>
      <c r="AU29" s="2"/>
      <c r="AV29" s="76">
        <f t="shared" si="0"/>
        <v>5385</v>
      </c>
    </row>
    <row r="30" spans="1:48" x14ac:dyDescent="0.45">
      <c r="A30" s="10">
        <v>28</v>
      </c>
      <c r="B30" s="17">
        <v>2509587297</v>
      </c>
      <c r="C30" s="18">
        <v>564649279</v>
      </c>
      <c r="D30" s="26" t="s">
        <v>33</v>
      </c>
      <c r="E30" s="47" t="s">
        <v>41</v>
      </c>
      <c r="F30" s="19" t="s">
        <v>10</v>
      </c>
      <c r="G30" s="49">
        <v>18</v>
      </c>
      <c r="H30" s="79">
        <v>10</v>
      </c>
      <c r="I30" s="83"/>
      <c r="J30" s="79">
        <v>10</v>
      </c>
      <c r="K30" s="79">
        <v>10</v>
      </c>
      <c r="L30" s="79">
        <v>10</v>
      </c>
      <c r="M30" s="79">
        <v>10</v>
      </c>
      <c r="N30" s="79">
        <v>10</v>
      </c>
      <c r="O30" s="79">
        <v>10</v>
      </c>
      <c r="P30" s="83"/>
      <c r="Q30" s="79">
        <v>10</v>
      </c>
      <c r="R30" s="81">
        <v>0</v>
      </c>
      <c r="S30" s="79">
        <v>10</v>
      </c>
      <c r="T30" s="79">
        <v>10</v>
      </c>
      <c r="U30" s="79">
        <v>10</v>
      </c>
      <c r="V30" s="79">
        <v>10</v>
      </c>
      <c r="W30" s="83"/>
      <c r="X30" s="79">
        <v>10</v>
      </c>
      <c r="Y30" s="79">
        <v>10</v>
      </c>
      <c r="Z30" s="79">
        <v>10</v>
      </c>
      <c r="AA30" s="79">
        <v>10</v>
      </c>
      <c r="AB30" s="79">
        <v>10</v>
      </c>
      <c r="AC30" s="79">
        <v>10</v>
      </c>
      <c r="AD30" s="83"/>
      <c r="AE30" s="79">
        <v>10</v>
      </c>
      <c r="AF30" s="79">
        <v>10</v>
      </c>
      <c r="AG30" s="79">
        <v>10</v>
      </c>
      <c r="AH30" s="79">
        <v>10</v>
      </c>
      <c r="AI30" s="79">
        <v>10</v>
      </c>
      <c r="AJ30" s="79">
        <v>10</v>
      </c>
      <c r="AK30" s="80">
        <v>10</v>
      </c>
      <c r="AL30" s="81">
        <v>0</v>
      </c>
      <c r="AM30" s="87">
        <v>10</v>
      </c>
      <c r="AN30" s="87">
        <v>10</v>
      </c>
      <c r="AO30" s="87">
        <v>10</v>
      </c>
      <c r="AP30" s="81">
        <v>0</v>
      </c>
      <c r="AQ30" s="69">
        <f t="shared" si="1"/>
        <v>280</v>
      </c>
      <c r="AR30" s="72">
        <v>3</v>
      </c>
      <c r="AS30" s="89">
        <f t="shared" si="2"/>
        <v>45</v>
      </c>
      <c r="AT30" s="1"/>
      <c r="AU30" s="2"/>
      <c r="AV30" s="76">
        <f t="shared" si="0"/>
        <v>4995</v>
      </c>
    </row>
    <row r="31" spans="1:48" x14ac:dyDescent="0.45">
      <c r="A31" s="10">
        <v>29</v>
      </c>
      <c r="B31" s="17">
        <v>2620603791</v>
      </c>
      <c r="C31" s="18">
        <v>553026447</v>
      </c>
      <c r="D31" s="26" t="s">
        <v>34</v>
      </c>
      <c r="E31" s="47" t="s">
        <v>41</v>
      </c>
      <c r="F31" s="19" t="s">
        <v>10</v>
      </c>
      <c r="G31" s="49">
        <v>18</v>
      </c>
      <c r="H31" s="79">
        <v>10</v>
      </c>
      <c r="I31" s="83"/>
      <c r="J31" s="79">
        <v>10</v>
      </c>
      <c r="K31" s="79">
        <v>10</v>
      </c>
      <c r="L31" s="79">
        <v>10</v>
      </c>
      <c r="M31" s="79">
        <v>10</v>
      </c>
      <c r="N31" s="79">
        <v>10</v>
      </c>
      <c r="O31" s="79">
        <v>10</v>
      </c>
      <c r="P31" s="83"/>
      <c r="Q31" s="79">
        <v>10</v>
      </c>
      <c r="R31" s="79">
        <v>10</v>
      </c>
      <c r="S31" s="79">
        <v>10</v>
      </c>
      <c r="T31" s="79">
        <v>10</v>
      </c>
      <c r="U31" s="79">
        <v>10</v>
      </c>
      <c r="V31" s="79">
        <v>10</v>
      </c>
      <c r="W31" s="83"/>
      <c r="X31" s="79">
        <v>10</v>
      </c>
      <c r="Y31" s="79">
        <v>10</v>
      </c>
      <c r="Z31" s="79">
        <v>10</v>
      </c>
      <c r="AA31" s="79">
        <v>10</v>
      </c>
      <c r="AB31" s="79">
        <v>10</v>
      </c>
      <c r="AC31" s="79">
        <v>10</v>
      </c>
      <c r="AD31" s="83"/>
      <c r="AE31" s="79">
        <v>10</v>
      </c>
      <c r="AF31" s="79">
        <v>10</v>
      </c>
      <c r="AG31" s="79">
        <v>10</v>
      </c>
      <c r="AH31" s="79">
        <v>10</v>
      </c>
      <c r="AI31" s="79">
        <v>10</v>
      </c>
      <c r="AJ31" s="79">
        <v>10</v>
      </c>
      <c r="AK31" s="80">
        <v>10</v>
      </c>
      <c r="AL31" s="79">
        <v>10</v>
      </c>
      <c r="AM31" s="87">
        <v>10</v>
      </c>
      <c r="AN31" s="87">
        <v>10</v>
      </c>
      <c r="AO31" s="87">
        <v>10</v>
      </c>
      <c r="AP31" s="81">
        <v>0</v>
      </c>
      <c r="AQ31" s="69">
        <f t="shared" si="1"/>
        <v>300</v>
      </c>
      <c r="AR31" s="72">
        <v>1</v>
      </c>
      <c r="AS31" s="89">
        <f t="shared" si="2"/>
        <v>15</v>
      </c>
      <c r="AT31" s="1"/>
      <c r="AU31" s="2"/>
      <c r="AV31" s="76">
        <f t="shared" si="0"/>
        <v>5385</v>
      </c>
    </row>
    <row r="32" spans="1:48" x14ac:dyDescent="0.45">
      <c r="A32" s="10">
        <v>30</v>
      </c>
      <c r="B32" s="17">
        <v>2620685533</v>
      </c>
      <c r="C32" s="18">
        <v>538186489</v>
      </c>
      <c r="D32" s="26" t="s">
        <v>35</v>
      </c>
      <c r="E32" s="47" t="s">
        <v>41</v>
      </c>
      <c r="F32" s="19" t="s">
        <v>10</v>
      </c>
      <c r="G32" s="49">
        <v>18</v>
      </c>
      <c r="H32" s="79">
        <v>10</v>
      </c>
      <c r="I32" s="83"/>
      <c r="J32" s="79">
        <v>10</v>
      </c>
      <c r="K32" s="79">
        <v>10</v>
      </c>
      <c r="L32" s="79">
        <v>10</v>
      </c>
      <c r="M32" s="79">
        <v>10</v>
      </c>
      <c r="N32" s="79">
        <v>10</v>
      </c>
      <c r="O32" s="79">
        <v>10</v>
      </c>
      <c r="P32" s="83"/>
      <c r="Q32" s="79">
        <v>10</v>
      </c>
      <c r="R32" s="79">
        <v>10</v>
      </c>
      <c r="S32" s="79">
        <v>10</v>
      </c>
      <c r="T32" s="79">
        <v>10</v>
      </c>
      <c r="U32" s="79">
        <v>10</v>
      </c>
      <c r="V32" s="79">
        <v>10</v>
      </c>
      <c r="W32" s="83"/>
      <c r="X32" s="79">
        <v>10</v>
      </c>
      <c r="Y32" s="79">
        <v>10</v>
      </c>
      <c r="Z32" s="79">
        <v>10</v>
      </c>
      <c r="AA32" s="79">
        <v>10</v>
      </c>
      <c r="AB32" s="79">
        <v>10</v>
      </c>
      <c r="AC32" s="79">
        <v>10</v>
      </c>
      <c r="AD32" s="83"/>
      <c r="AE32" s="79">
        <v>10</v>
      </c>
      <c r="AF32" s="79">
        <v>10</v>
      </c>
      <c r="AG32" s="79">
        <v>10</v>
      </c>
      <c r="AH32" s="79">
        <v>10</v>
      </c>
      <c r="AI32" s="79">
        <v>10</v>
      </c>
      <c r="AJ32" s="79">
        <v>10</v>
      </c>
      <c r="AK32" s="80">
        <v>10</v>
      </c>
      <c r="AL32" s="79">
        <v>10</v>
      </c>
      <c r="AM32" s="87">
        <v>10</v>
      </c>
      <c r="AN32" s="87">
        <v>10</v>
      </c>
      <c r="AO32" s="87">
        <v>10</v>
      </c>
      <c r="AP32" s="81">
        <v>0</v>
      </c>
      <c r="AQ32" s="69">
        <f t="shared" si="1"/>
        <v>300</v>
      </c>
      <c r="AR32" s="72">
        <v>1</v>
      </c>
      <c r="AS32" s="89">
        <f t="shared" si="2"/>
        <v>15</v>
      </c>
      <c r="AT32" s="1"/>
      <c r="AU32" s="2"/>
      <c r="AV32" s="76">
        <f t="shared" si="0"/>
        <v>5385</v>
      </c>
    </row>
    <row r="33" spans="1:48" x14ac:dyDescent="0.45">
      <c r="A33" s="10">
        <v>31</v>
      </c>
      <c r="B33" s="17">
        <v>2604940318</v>
      </c>
      <c r="C33" s="18">
        <v>552689742</v>
      </c>
      <c r="D33" s="26" t="s">
        <v>36</v>
      </c>
      <c r="E33" s="47" t="s">
        <v>41</v>
      </c>
      <c r="F33" s="19" t="s">
        <v>10</v>
      </c>
      <c r="G33" s="49">
        <v>18</v>
      </c>
      <c r="H33" s="79">
        <v>10</v>
      </c>
      <c r="I33" s="83"/>
      <c r="J33" s="79">
        <v>10</v>
      </c>
      <c r="K33" s="79">
        <v>10</v>
      </c>
      <c r="L33" s="79">
        <v>10</v>
      </c>
      <c r="M33" s="79">
        <v>10</v>
      </c>
      <c r="N33" s="79">
        <v>10</v>
      </c>
      <c r="O33" s="79">
        <v>10</v>
      </c>
      <c r="P33" s="83"/>
      <c r="Q33" s="79">
        <v>10</v>
      </c>
      <c r="R33" s="79">
        <v>10</v>
      </c>
      <c r="S33" s="79">
        <v>10</v>
      </c>
      <c r="T33" s="79">
        <v>10</v>
      </c>
      <c r="U33" s="79">
        <v>10</v>
      </c>
      <c r="V33" s="79">
        <v>10</v>
      </c>
      <c r="W33" s="83"/>
      <c r="X33" s="79">
        <v>10</v>
      </c>
      <c r="Y33" s="79">
        <v>10</v>
      </c>
      <c r="Z33" s="79">
        <v>10</v>
      </c>
      <c r="AA33" s="79">
        <v>10</v>
      </c>
      <c r="AB33" s="79">
        <v>10</v>
      </c>
      <c r="AC33" s="79">
        <v>10</v>
      </c>
      <c r="AD33" s="83"/>
      <c r="AE33" s="79">
        <v>10</v>
      </c>
      <c r="AF33" s="79">
        <v>10</v>
      </c>
      <c r="AG33" s="79">
        <v>10</v>
      </c>
      <c r="AH33" s="79">
        <v>10</v>
      </c>
      <c r="AI33" s="79">
        <v>10</v>
      </c>
      <c r="AJ33" s="79">
        <v>10</v>
      </c>
      <c r="AK33" s="80">
        <v>10</v>
      </c>
      <c r="AL33" s="79">
        <v>10</v>
      </c>
      <c r="AM33" s="87">
        <v>10</v>
      </c>
      <c r="AN33" s="87">
        <v>10</v>
      </c>
      <c r="AO33" s="87">
        <v>10</v>
      </c>
      <c r="AP33" s="81">
        <v>0</v>
      </c>
      <c r="AQ33" s="69">
        <f t="shared" si="1"/>
        <v>300</v>
      </c>
      <c r="AR33" s="72">
        <v>1</v>
      </c>
      <c r="AS33" s="89">
        <f t="shared" si="2"/>
        <v>15</v>
      </c>
      <c r="AT33" s="1"/>
      <c r="AU33" s="2"/>
      <c r="AV33" s="76">
        <f t="shared" si="0"/>
        <v>5385</v>
      </c>
    </row>
    <row r="34" spans="1:48" x14ac:dyDescent="0.45">
      <c r="A34" s="10">
        <v>32</v>
      </c>
      <c r="B34" s="17">
        <v>2602457752</v>
      </c>
      <c r="C34" s="18">
        <v>559563029</v>
      </c>
      <c r="D34" s="26" t="s">
        <v>37</v>
      </c>
      <c r="E34" s="47" t="s">
        <v>41</v>
      </c>
      <c r="F34" s="19" t="s">
        <v>10</v>
      </c>
      <c r="G34" s="49">
        <v>18</v>
      </c>
      <c r="H34" s="81">
        <v>0</v>
      </c>
      <c r="I34" s="83"/>
      <c r="J34" s="79">
        <v>10</v>
      </c>
      <c r="K34" s="79">
        <v>10</v>
      </c>
      <c r="L34" s="79">
        <v>10</v>
      </c>
      <c r="M34" s="79">
        <v>10</v>
      </c>
      <c r="N34" s="79">
        <v>10</v>
      </c>
      <c r="O34" s="79">
        <v>10</v>
      </c>
      <c r="P34" s="83"/>
      <c r="Q34" s="79">
        <v>10</v>
      </c>
      <c r="R34" s="79">
        <v>10</v>
      </c>
      <c r="S34" s="79">
        <v>10</v>
      </c>
      <c r="T34" s="79">
        <v>10</v>
      </c>
      <c r="U34" s="79">
        <v>10</v>
      </c>
      <c r="V34" s="81">
        <v>0</v>
      </c>
      <c r="W34" s="83"/>
      <c r="X34" s="79">
        <v>10</v>
      </c>
      <c r="Y34" s="79">
        <v>10</v>
      </c>
      <c r="Z34" s="79">
        <v>10</v>
      </c>
      <c r="AA34" s="79">
        <v>10</v>
      </c>
      <c r="AB34" s="79">
        <v>10</v>
      </c>
      <c r="AC34" s="79">
        <v>10</v>
      </c>
      <c r="AD34" s="83"/>
      <c r="AE34" s="79">
        <v>10</v>
      </c>
      <c r="AF34" s="79">
        <v>10</v>
      </c>
      <c r="AG34" s="79">
        <v>10</v>
      </c>
      <c r="AH34" s="79">
        <v>10</v>
      </c>
      <c r="AI34" s="79">
        <v>10</v>
      </c>
      <c r="AJ34" s="79">
        <v>10</v>
      </c>
      <c r="AK34" s="80">
        <v>10</v>
      </c>
      <c r="AL34" s="79">
        <v>10</v>
      </c>
      <c r="AM34" s="87">
        <v>10</v>
      </c>
      <c r="AN34" s="87">
        <v>10</v>
      </c>
      <c r="AO34" s="87">
        <v>10</v>
      </c>
      <c r="AP34" s="81">
        <v>0</v>
      </c>
      <c r="AQ34" s="69">
        <f t="shared" si="1"/>
        <v>280</v>
      </c>
      <c r="AR34" s="72">
        <v>3</v>
      </c>
      <c r="AS34" s="89">
        <f t="shared" si="2"/>
        <v>45</v>
      </c>
      <c r="AT34" s="1"/>
      <c r="AU34" s="2"/>
      <c r="AV34" s="76">
        <f t="shared" si="0"/>
        <v>4995</v>
      </c>
    </row>
    <row r="35" spans="1:48" ht="30" customHeight="1" x14ac:dyDescent="0.35">
      <c r="AQ35" s="60">
        <f>SUM(AQ3:AQ34)</f>
        <v>7400</v>
      </c>
      <c r="AR35" s="60">
        <f>SUM(AR3:AR34)</f>
        <v>70</v>
      </c>
      <c r="AS35" s="61">
        <f>SUM(AS3:AS34)</f>
        <v>1050</v>
      </c>
      <c r="AV35" s="61">
        <f>SUM(AV3:AV34)</f>
        <v>146070</v>
      </c>
    </row>
    <row r="36" spans="1:48" x14ac:dyDescent="0.35">
      <c r="A36" s="99" t="s">
        <v>95</v>
      </c>
      <c r="B36" s="100"/>
      <c r="AR36" s="75"/>
      <c r="AV36" s="3"/>
    </row>
    <row r="37" spans="1:48" ht="25.5" customHeight="1" x14ac:dyDescent="0.35">
      <c r="A37" s="63">
        <v>1</v>
      </c>
      <c r="B37" s="101" t="s">
        <v>102</v>
      </c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3"/>
      <c r="AV37" s="77">
        <f>-27*300</f>
        <v>-8100</v>
      </c>
    </row>
    <row r="38" spans="1:48" ht="25.5" customHeight="1" x14ac:dyDescent="0.35">
      <c r="A38" s="63">
        <v>2</v>
      </c>
      <c r="B38" s="101" t="s">
        <v>103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3"/>
      <c r="AV38" s="77">
        <f>-22*60</f>
        <v>-1320</v>
      </c>
    </row>
    <row r="39" spans="1:48" ht="25.5" customHeight="1" x14ac:dyDescent="0.35">
      <c r="A39" s="64"/>
      <c r="B39" s="96" t="s">
        <v>97</v>
      </c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8"/>
      <c r="AV39" s="65">
        <f>SUM(AV37:AV38)</f>
        <v>-9420</v>
      </c>
    </row>
    <row r="40" spans="1:48" x14ac:dyDescent="0.35">
      <c r="AR40" s="75"/>
      <c r="AV40" s="3"/>
    </row>
    <row r="41" spans="1:48" ht="34" customHeight="1" x14ac:dyDescent="0.35">
      <c r="AN41" s="112"/>
      <c r="AO41" s="112"/>
      <c r="AP41" s="113"/>
      <c r="AQ41" s="112"/>
      <c r="AR41" s="114"/>
      <c r="AS41" s="112"/>
      <c r="AU41" s="68" t="s">
        <v>98</v>
      </c>
      <c r="AV41" s="67">
        <f>AV35+AV39</f>
        <v>136650</v>
      </c>
    </row>
  </sheetData>
  <mergeCells count="10">
    <mergeCell ref="P1:Q1"/>
    <mergeCell ref="A36:B36"/>
    <mergeCell ref="B37:AU37"/>
    <mergeCell ref="B38:AU38"/>
    <mergeCell ref="B39:AU39"/>
    <mergeCell ref="A1:D1"/>
    <mergeCell ref="E1:I1"/>
    <mergeCell ref="J1:K1"/>
    <mergeCell ref="L1:M1"/>
    <mergeCell ref="N1:O1"/>
  </mergeCells>
  <conditionalFormatting sqref="H5 Q5:V5">
    <cfRule type="containsText" dxfId="95" priority="95" stopIfTrue="1" operator="containsText" text="A">
      <formula>NOT(ISERROR(SEARCH("A",H5)))</formula>
    </cfRule>
  </conditionalFormatting>
  <conditionalFormatting sqref="H8">
    <cfRule type="uniqueValues" dxfId="94" priority="64" stopIfTrue="1"/>
    <cfRule type="expression" dxfId="93" priority="66" stopIfTrue="1">
      <formula>AND(COUNTIF($F$4:$AK$6, H8)+COUNTIF($H$7:$AK$33, H8)=1,NOT(ISBLANK(H8)))</formula>
    </cfRule>
  </conditionalFormatting>
  <conditionalFormatting sqref="H15">
    <cfRule type="uniqueValues" dxfId="92" priority="46" stopIfTrue="1"/>
    <cfRule type="expression" dxfId="91" priority="48" stopIfTrue="1">
      <formula>AND(COUNTIF($F$4:$AK$6, H15)+COUNTIF($H$7:$AK$33, H15)=1,NOT(ISBLANK(H15)))</formula>
    </cfRule>
  </conditionalFormatting>
  <conditionalFormatting sqref="H18:H19">
    <cfRule type="uniqueValues" dxfId="90" priority="28" stopIfTrue="1"/>
    <cfRule type="expression" dxfId="89" priority="30" stopIfTrue="1">
      <formula>AND(COUNTIF($F$4:$AK$6, H18)+COUNTIF($H$7:$AK$33, H18)=1,NOT(ISBLANK(H18)))</formula>
    </cfRule>
  </conditionalFormatting>
  <conditionalFormatting sqref="H8:I8">
    <cfRule type="containsText" dxfId="88" priority="65" stopIfTrue="1" operator="containsText" text="A">
      <formula>NOT(ISERROR(SEARCH("A",H8)))</formula>
    </cfRule>
  </conditionalFormatting>
  <conditionalFormatting sqref="H15:I15">
    <cfRule type="containsText" dxfId="87" priority="47" stopIfTrue="1" operator="containsText" text="A">
      <formula>NOT(ISERROR(SEARCH("A",H15)))</formula>
    </cfRule>
  </conditionalFormatting>
  <conditionalFormatting sqref="H18:I19">
    <cfRule type="containsText" dxfId="86" priority="29" stopIfTrue="1" operator="containsText" text="A">
      <formula>NOT(ISERROR(SEARCH("A",H18)))</formula>
    </cfRule>
  </conditionalFormatting>
  <conditionalFormatting sqref="H5:W5 AD5 AK5">
    <cfRule type="expression" dxfId="85" priority="96" stopIfTrue="1">
      <formula>AND(COUNTIF($F$4:$AK$6, H5)+COUNTIF($H$7:$AK$33, H5)=1,NOT(ISBLANK(H5)))</formula>
    </cfRule>
  </conditionalFormatting>
  <conditionalFormatting sqref="I5">
    <cfRule type="containsText" dxfId="84" priority="89" stopIfTrue="1" operator="containsText" text="A">
      <formula>NOT(ISERROR(SEARCH("A",I5)))</formula>
    </cfRule>
  </conditionalFormatting>
  <conditionalFormatting sqref="I8 I15 I18:I19">
    <cfRule type="expression" dxfId="83" priority="90" stopIfTrue="1">
      <formula>AND(COUNTIF($F$1:$AI$3, I8)+COUNTIF($H$4:$AI$32, I8)=1,NOT(ISBLANK(I8)))</formula>
    </cfRule>
  </conditionalFormatting>
  <conditionalFormatting sqref="I8">
    <cfRule type="uniqueValues" dxfId="82" priority="92" stopIfTrue="1"/>
  </conditionalFormatting>
  <conditionalFormatting sqref="I15 I18:I19">
    <cfRule type="uniqueValues" dxfId="81" priority="91" stopIfTrue="1"/>
  </conditionalFormatting>
  <conditionalFormatting sqref="J5:O5">
    <cfRule type="containsText" dxfId="80" priority="94" stopIfTrue="1" operator="containsText" text="A">
      <formula>NOT(ISERROR(SEARCH("A",J5)))</formula>
    </cfRule>
  </conditionalFormatting>
  <conditionalFormatting sqref="J8:O8">
    <cfRule type="uniqueValues" dxfId="79" priority="61" stopIfTrue="1"/>
    <cfRule type="expression" dxfId="78" priority="63" stopIfTrue="1">
      <formula>AND(COUNTIF($F$4:$AK$6, J8)+COUNTIF($H$7:$AK$33, J8)=1,NOT(ISBLANK(J8)))</formula>
    </cfRule>
  </conditionalFormatting>
  <conditionalFormatting sqref="J15:O15">
    <cfRule type="uniqueValues" dxfId="77" priority="43" stopIfTrue="1"/>
    <cfRule type="expression" dxfId="76" priority="45" stopIfTrue="1">
      <formula>AND(COUNTIF($F$4:$AK$6, J15)+COUNTIF($H$7:$AK$33, J15)=1,NOT(ISBLANK(J15)))</formula>
    </cfRule>
  </conditionalFormatting>
  <conditionalFormatting sqref="J18:O19">
    <cfRule type="uniqueValues" dxfId="75" priority="25" stopIfTrue="1"/>
    <cfRule type="expression" dxfId="74" priority="27" stopIfTrue="1">
      <formula>AND(COUNTIF($F$4:$AK$6, J18)+COUNTIF($H$7:$AK$33, J18)=1,NOT(ISBLANK(J18)))</formula>
    </cfRule>
  </conditionalFormatting>
  <conditionalFormatting sqref="J8:P8">
    <cfRule type="containsText" dxfId="73" priority="62" stopIfTrue="1" operator="containsText" text="A">
      <formula>NOT(ISERROR(SEARCH("A",J8)))</formula>
    </cfRule>
  </conditionalFormatting>
  <conditionalFormatting sqref="J15:P15">
    <cfRule type="containsText" dxfId="72" priority="44" stopIfTrue="1" operator="containsText" text="A">
      <formula>NOT(ISERROR(SEARCH("A",J15)))</formula>
    </cfRule>
  </conditionalFormatting>
  <conditionalFormatting sqref="J18:P19">
    <cfRule type="containsText" dxfId="71" priority="26" stopIfTrue="1" operator="containsText" text="A">
      <formula>NOT(ISERROR(SEARCH("A",J18)))</formula>
    </cfRule>
  </conditionalFormatting>
  <conditionalFormatting sqref="P5">
    <cfRule type="containsText" dxfId="70" priority="85" stopIfTrue="1" operator="containsText" text="A">
      <formula>NOT(ISERROR(SEARCH("A",P5)))</formula>
    </cfRule>
  </conditionalFormatting>
  <conditionalFormatting sqref="P8 P15 P18:P19">
    <cfRule type="expression" dxfId="69" priority="86" stopIfTrue="1">
      <formula>AND(COUNTIF($F$1:$AI$3, P8)+COUNTIF($H$4:$AI$32, P8)=1,NOT(ISBLANK(P8)))</formula>
    </cfRule>
  </conditionalFormatting>
  <conditionalFormatting sqref="P8">
    <cfRule type="uniqueValues" dxfId="68" priority="88" stopIfTrue="1"/>
  </conditionalFormatting>
  <conditionalFormatting sqref="P15 P18:P19">
    <cfRule type="uniqueValues" dxfId="67" priority="87" stopIfTrue="1"/>
  </conditionalFormatting>
  <conditionalFormatting sqref="Q8:V8">
    <cfRule type="uniqueValues" dxfId="66" priority="58" stopIfTrue="1"/>
    <cfRule type="expression" dxfId="65" priority="60" stopIfTrue="1">
      <formula>AND(COUNTIF($F$4:$AK$6, Q8)+COUNTIF($H$7:$AK$33, Q8)=1,NOT(ISBLANK(Q8)))</formula>
    </cfRule>
  </conditionalFormatting>
  <conditionalFormatting sqref="Q15:V15">
    <cfRule type="uniqueValues" dxfId="64" priority="40" stopIfTrue="1"/>
    <cfRule type="expression" dxfId="63" priority="42" stopIfTrue="1">
      <formula>AND(COUNTIF($F$4:$AK$6, Q15)+COUNTIF($H$7:$AK$33, Q15)=1,NOT(ISBLANK(Q15)))</formula>
    </cfRule>
  </conditionalFormatting>
  <conditionalFormatting sqref="Q18:V19">
    <cfRule type="uniqueValues" dxfId="62" priority="22" stopIfTrue="1"/>
    <cfRule type="expression" dxfId="61" priority="24" stopIfTrue="1">
      <formula>AND(COUNTIF($F$4:$AK$6, Q18)+COUNTIF($H$7:$AK$33, Q18)=1,NOT(ISBLANK(Q18)))</formula>
    </cfRule>
  </conditionalFormatting>
  <conditionalFormatting sqref="Q8:W8">
    <cfRule type="containsText" dxfId="60" priority="59" stopIfTrue="1" operator="containsText" text="A">
      <formula>NOT(ISERROR(SEARCH("A",Q8)))</formula>
    </cfRule>
  </conditionalFormatting>
  <conditionalFormatting sqref="Q15:W15">
    <cfRule type="containsText" dxfId="59" priority="41" stopIfTrue="1" operator="containsText" text="A">
      <formula>NOT(ISERROR(SEARCH("A",Q15)))</formula>
    </cfRule>
  </conditionalFormatting>
  <conditionalFormatting sqref="Q18:W19">
    <cfRule type="containsText" dxfId="58" priority="23" stopIfTrue="1" operator="containsText" text="A">
      <formula>NOT(ISERROR(SEARCH("A",Q18)))</formula>
    </cfRule>
  </conditionalFormatting>
  <conditionalFormatting sqref="W8 W15 W18:W19">
    <cfRule type="expression" dxfId="57" priority="82" stopIfTrue="1">
      <formula>AND(COUNTIF($F$1:$AI$3, W8)+COUNTIF($H$4:$AI$32, W8)=1,NOT(ISBLANK(W8)))</formula>
    </cfRule>
  </conditionalFormatting>
  <conditionalFormatting sqref="W8">
    <cfRule type="uniqueValues" dxfId="56" priority="84" stopIfTrue="1"/>
  </conditionalFormatting>
  <conditionalFormatting sqref="W15 W18:W19">
    <cfRule type="uniqueValues" dxfId="55" priority="83" stopIfTrue="1"/>
  </conditionalFormatting>
  <conditionalFormatting sqref="W5:AD5">
    <cfRule type="containsText" dxfId="54" priority="74" stopIfTrue="1" operator="containsText" text="A">
      <formula>NOT(ISERROR(SEARCH("A",W5)))</formula>
    </cfRule>
  </conditionalFormatting>
  <conditionalFormatting sqref="X5:AC5">
    <cfRule type="uniqueValues" dxfId="53" priority="73" stopIfTrue="1"/>
    <cfRule type="expression" dxfId="52" priority="75" stopIfTrue="1">
      <formula>AND(COUNTIF($F$4:$AK$6, X5)+COUNTIF($H$7:$AK$33, X5)=1,NOT(ISBLANK(X5)))</formula>
    </cfRule>
  </conditionalFormatting>
  <conditionalFormatting sqref="X8:AC8">
    <cfRule type="uniqueValues" dxfId="51" priority="55" stopIfTrue="1"/>
    <cfRule type="expression" dxfId="50" priority="57" stopIfTrue="1">
      <formula>AND(COUNTIF($F$4:$AK$6, X8)+COUNTIF($H$7:$AK$33, X8)=1,NOT(ISBLANK(X8)))</formula>
    </cfRule>
  </conditionalFormatting>
  <conditionalFormatting sqref="X15:AC15">
    <cfRule type="uniqueValues" dxfId="49" priority="37" stopIfTrue="1"/>
    <cfRule type="expression" dxfId="48" priority="39" stopIfTrue="1">
      <formula>AND(COUNTIF($F$4:$AK$6, X15)+COUNTIF($H$7:$AK$33, X15)=1,NOT(ISBLANK(X15)))</formula>
    </cfRule>
  </conditionalFormatting>
  <conditionalFormatting sqref="X18:AC19">
    <cfRule type="uniqueValues" dxfId="47" priority="19" stopIfTrue="1"/>
    <cfRule type="expression" dxfId="46" priority="21" stopIfTrue="1">
      <formula>AND(COUNTIF($F$4:$AK$6, X18)+COUNTIF($H$7:$AK$33, X18)=1,NOT(ISBLANK(X18)))</formula>
    </cfRule>
  </conditionalFormatting>
  <conditionalFormatting sqref="X8:AD8">
    <cfRule type="containsText" dxfId="45" priority="56" stopIfTrue="1" operator="containsText" text="A">
      <formula>NOT(ISERROR(SEARCH("A",X8)))</formula>
    </cfRule>
  </conditionalFormatting>
  <conditionalFormatting sqref="X15:AD15">
    <cfRule type="containsText" dxfId="44" priority="38" stopIfTrue="1" operator="containsText" text="A">
      <formula>NOT(ISERROR(SEARCH("A",X15)))</formula>
    </cfRule>
  </conditionalFormatting>
  <conditionalFormatting sqref="X18:AD19">
    <cfRule type="containsText" dxfId="43" priority="20" stopIfTrue="1" operator="containsText" text="A">
      <formula>NOT(ISERROR(SEARCH("A",X18)))</formula>
    </cfRule>
  </conditionalFormatting>
  <conditionalFormatting sqref="AD5 AK5 H5:W5">
    <cfRule type="uniqueValues" dxfId="42" priority="93" stopIfTrue="1"/>
  </conditionalFormatting>
  <conditionalFormatting sqref="AD8 AD15 AD18:AD19">
    <cfRule type="expression" dxfId="41" priority="79" stopIfTrue="1">
      <formula>AND(COUNTIF($F$1:$AI$3, AD8)+COUNTIF($H$4:$AI$32, AD8)=1,NOT(ISBLANK(AD8)))</formula>
    </cfRule>
  </conditionalFormatting>
  <conditionalFormatting sqref="AD8">
    <cfRule type="uniqueValues" dxfId="40" priority="81" stopIfTrue="1"/>
  </conditionalFormatting>
  <conditionalFormatting sqref="AD15 AD18:AD19">
    <cfRule type="uniqueValues" dxfId="39" priority="80" stopIfTrue="1"/>
  </conditionalFormatting>
  <conditionalFormatting sqref="AE5:AJ5">
    <cfRule type="uniqueValues" dxfId="38" priority="70" stopIfTrue="1"/>
    <cfRule type="expression" dxfId="37" priority="72" stopIfTrue="1">
      <formula>AND(COUNTIF($F$4:$AK$6, AE5)+COUNTIF($H$7:$AK$33, AE5)=1,NOT(ISBLANK(AE5)))</formula>
    </cfRule>
  </conditionalFormatting>
  <conditionalFormatting sqref="AE8:AJ8">
    <cfRule type="uniqueValues" dxfId="36" priority="52" stopIfTrue="1"/>
    <cfRule type="expression" dxfId="35" priority="54" stopIfTrue="1">
      <formula>AND(COUNTIF($F$4:$AK$6, AE8)+COUNTIF($H$7:$AK$33, AE8)=1,NOT(ISBLANK(AE8)))</formula>
    </cfRule>
  </conditionalFormatting>
  <conditionalFormatting sqref="AE15:AJ15">
    <cfRule type="uniqueValues" dxfId="34" priority="34" stopIfTrue="1"/>
    <cfRule type="expression" dxfId="33" priority="36" stopIfTrue="1">
      <formula>AND(COUNTIF($F$4:$AK$6, AE15)+COUNTIF($H$7:$AK$33, AE15)=1,NOT(ISBLANK(AE15)))</formula>
    </cfRule>
  </conditionalFormatting>
  <conditionalFormatting sqref="AE18:AJ19">
    <cfRule type="uniqueValues" dxfId="32" priority="16" stopIfTrue="1"/>
    <cfRule type="expression" dxfId="31" priority="18" stopIfTrue="1">
      <formula>AND(COUNTIF($F$4:$AK$6, AE18)+COUNTIF($H$7:$AK$33, AE18)=1,NOT(ISBLANK(AE18)))</formula>
    </cfRule>
  </conditionalFormatting>
  <conditionalFormatting sqref="AE5:AK5">
    <cfRule type="containsText" dxfId="30" priority="71" stopIfTrue="1" operator="containsText" text="A">
      <formula>NOT(ISERROR(SEARCH("A",AE5)))</formula>
    </cfRule>
  </conditionalFormatting>
  <conditionalFormatting sqref="AE8:AK8">
    <cfRule type="containsText" dxfId="29" priority="53" stopIfTrue="1" operator="containsText" text="A">
      <formula>NOT(ISERROR(SEARCH("A",AE8)))</formula>
    </cfRule>
  </conditionalFormatting>
  <conditionalFormatting sqref="AE15:AK15">
    <cfRule type="containsText" dxfId="28" priority="35" stopIfTrue="1" operator="containsText" text="A">
      <formula>NOT(ISERROR(SEARCH("A",AE15)))</formula>
    </cfRule>
  </conditionalFormatting>
  <conditionalFormatting sqref="AE18:AK19">
    <cfRule type="containsText" dxfId="27" priority="17" stopIfTrue="1" operator="containsText" text="A">
      <formula>NOT(ISERROR(SEARCH("A",AE18)))</formula>
    </cfRule>
  </conditionalFormatting>
  <conditionalFormatting sqref="AK8 AK15 AK18:AK19">
    <cfRule type="expression" dxfId="26" priority="76" stopIfTrue="1">
      <formula>AND(COUNTIF($F$1:$AI$3, AK8)+COUNTIF($H$4:$AI$32, AK8)=1,NOT(ISBLANK(AK8)))</formula>
    </cfRule>
  </conditionalFormatting>
  <conditionalFormatting sqref="AK8">
    <cfRule type="uniqueValues" dxfId="25" priority="78" stopIfTrue="1"/>
  </conditionalFormatting>
  <conditionalFormatting sqref="AK15 AK18:AK19">
    <cfRule type="uniqueValues" dxfId="24" priority="77" stopIfTrue="1"/>
  </conditionalFormatting>
  <conditionalFormatting sqref="AL5">
    <cfRule type="uniqueValues" dxfId="23" priority="67" stopIfTrue="1"/>
    <cfRule type="containsText" dxfId="22" priority="68" stopIfTrue="1" operator="containsText" text="A">
      <formula>NOT(ISERROR(SEARCH("A",AL5)))</formula>
    </cfRule>
    <cfRule type="expression" dxfId="21" priority="69" stopIfTrue="1">
      <formula>AND(COUNTIF($F$4:$AK$6, AL5)+COUNTIF($H$7:$AK$33, AL5)=1,NOT(ISBLANK(AL5)))</formula>
    </cfRule>
  </conditionalFormatting>
  <conditionalFormatting sqref="AL8">
    <cfRule type="uniqueValues" dxfId="20" priority="49" stopIfTrue="1"/>
    <cfRule type="containsText" dxfId="19" priority="50" stopIfTrue="1" operator="containsText" text="A">
      <formula>NOT(ISERROR(SEARCH("A",AL8)))</formula>
    </cfRule>
    <cfRule type="expression" dxfId="18" priority="51" stopIfTrue="1">
      <formula>AND(COUNTIF($F$4:$AK$6, AL8)+COUNTIF($H$7:$AK$33, AL8)=1,NOT(ISBLANK(AL8)))</formula>
    </cfRule>
  </conditionalFormatting>
  <conditionalFormatting sqref="AL15">
    <cfRule type="uniqueValues" dxfId="17" priority="31" stopIfTrue="1"/>
    <cfRule type="containsText" dxfId="16" priority="32" stopIfTrue="1" operator="containsText" text="A">
      <formula>NOT(ISERROR(SEARCH("A",AL15)))</formula>
    </cfRule>
    <cfRule type="expression" dxfId="15" priority="33" stopIfTrue="1">
      <formula>AND(COUNTIF($F$4:$AK$6, AL15)+COUNTIF($H$7:$AK$33, AL15)=1,NOT(ISBLANK(AL15)))</formula>
    </cfRule>
  </conditionalFormatting>
  <conditionalFormatting sqref="AL18:AL19">
    <cfRule type="uniqueValues" dxfId="14" priority="13" stopIfTrue="1"/>
    <cfRule type="containsText" dxfId="13" priority="14" stopIfTrue="1" operator="containsText" text="A">
      <formula>NOT(ISERROR(SEARCH("A",AL18)))</formula>
    </cfRule>
    <cfRule type="expression" dxfId="12" priority="15" stopIfTrue="1">
      <formula>AND(COUNTIF($F$4:$AK$6, AL18)+COUNTIF($H$7:$AK$33, AL18)=1,NOT(ISBLANK(AL18)))</formula>
    </cfRule>
  </conditionalFormatting>
  <conditionalFormatting sqref="AM5:AP5">
    <cfRule type="uniqueValues" dxfId="11" priority="10" stopIfTrue="1"/>
    <cfRule type="containsText" dxfId="10" priority="11" stopIfTrue="1" operator="containsText" text="A">
      <formula>NOT(ISERROR(SEARCH("A",AM5)))</formula>
    </cfRule>
    <cfRule type="expression" dxfId="9" priority="12" stopIfTrue="1">
      <formula>AND(COUNTIF($F$4:$AK$6, AM5)+COUNTIF($H$7:$AK$33, AM5)=1,NOT(ISBLANK(AM5)))</formula>
    </cfRule>
  </conditionalFormatting>
  <conditionalFormatting sqref="AM8:AP8">
    <cfRule type="uniqueValues" dxfId="8" priority="7" stopIfTrue="1"/>
    <cfRule type="containsText" dxfId="7" priority="8" stopIfTrue="1" operator="containsText" text="A">
      <formula>NOT(ISERROR(SEARCH("A",AM8)))</formula>
    </cfRule>
    <cfRule type="expression" dxfId="6" priority="9" stopIfTrue="1">
      <formula>AND(COUNTIF($F$4:$AK$6, AM8)+COUNTIF($H$7:$AK$33, AM8)=1,NOT(ISBLANK(AM8)))</formula>
    </cfRule>
  </conditionalFormatting>
  <conditionalFormatting sqref="AM15:AP15">
    <cfRule type="uniqueValues" dxfId="5" priority="4" stopIfTrue="1"/>
    <cfRule type="containsText" dxfId="4" priority="5" stopIfTrue="1" operator="containsText" text="A">
      <formula>NOT(ISERROR(SEARCH("A",AM15)))</formula>
    </cfRule>
    <cfRule type="expression" dxfId="3" priority="6" stopIfTrue="1">
      <formula>AND(COUNTIF($F$4:$AK$6, AM15)+COUNTIF($H$7:$AK$33, AM15)=1,NOT(ISBLANK(AM15)))</formula>
    </cfRule>
  </conditionalFormatting>
  <conditionalFormatting sqref="AM18:AP19">
    <cfRule type="uniqueValues" dxfId="2" priority="1" stopIfTrue="1"/>
    <cfRule type="containsText" dxfId="1" priority="2" stopIfTrue="1" operator="containsText" text="A">
      <formula>NOT(ISERROR(SEARCH("A",AM18)))</formula>
    </cfRule>
    <cfRule type="expression" dxfId="0" priority="3" stopIfTrue="1">
      <formula>AND(COUNTIF($F$4:$AK$6, AM18)+COUNTIF($H$7:$AK$33, AM18)=1,NOT(ISBLANK(AM18)))</formula>
    </cfRule>
  </conditionalFormatting>
  <pageMargins left="0.7" right="0.7" top="0.75" bottom="0.75" header="0.3" footer="0.3"/>
  <pageSetup scale="3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OCT-NOV-25</vt:lpstr>
      <vt:lpstr>DEC-25</vt:lpstr>
      <vt:lpstr>JAN &amp; FEB-26</vt:lpstr>
    </vt:vector>
  </TitlesOfParts>
  <Company>IMAR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Imar Attendance December 2020</dc:title>
  <dc:subject>Worker Attendance</dc:subject>
  <dc:creator>s.ahamad@groupimar.com.qa</dc:creator>
  <cp:lastModifiedBy>Mohamed Laith</cp:lastModifiedBy>
  <cp:lastPrinted>2023-06-17T08:38:56Z</cp:lastPrinted>
  <dcterms:created xsi:type="dcterms:W3CDTF">2020-05-03T11:53:44Z</dcterms:created>
  <dcterms:modified xsi:type="dcterms:W3CDTF">2026-03-09T09:30:06Z</dcterms:modified>
</cp:coreProperties>
</file>